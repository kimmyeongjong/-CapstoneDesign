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7A2D7E96-6E34-419A-AE5F-296B3A7E7977}"/>
  <workbookPr codeName="현재_통합_문서"/>
  <mc:AlternateContent xmlns:mc="http://schemas.openxmlformats.org/markup-compatibility/2006">
    <mc:Choice Requires="x15">
      <x15ac:absPath xmlns:x15ac="http://schemas.microsoft.com/office/spreadsheetml/2010/11/ac" url="D:\DeskTop\"/>
    </mc:Choice>
  </mc:AlternateContent>
  <xr:revisionPtr revIDLastSave="0" documentId="13_ncr:1_{13F2B29D-8404-4A3E-9AE9-5BB18EA357D5}" xr6:coauthVersionLast="43" xr6:coauthVersionMax="43" xr10:uidLastSave="{00000000-0000-0000-0000-000000000000}"/>
  <bookViews>
    <workbookView xWindow="28680" yWindow="-120" windowWidth="29040" windowHeight="1644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Schedule!$M$3:$N$96</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Schedule!$AD$4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S45" i="1" l="1"/>
  <c r="W45" i="1"/>
  <c r="DX45" i="1"/>
  <c r="DY45" i="1"/>
  <c r="R45" i="1"/>
  <c r="DD32" i="1" l="1"/>
  <c r="DC32" i="1"/>
  <c r="W32" i="1"/>
  <c r="EM57" i="1"/>
  <c r="EL57" i="1"/>
  <c r="W57" i="1"/>
  <c r="S57" i="1"/>
  <c r="DD29" i="1"/>
  <c r="DC29" i="1"/>
  <c r="S32" i="1"/>
  <c r="R57" i="1"/>
  <c r="R32" i="1"/>
  <c r="W5" i="1" l="1"/>
  <c r="BQ5" i="1"/>
  <c r="EW5" i="1"/>
  <c r="W6" i="1"/>
  <c r="BQ6" i="1"/>
  <c r="CO6" i="1"/>
  <c r="BQ7" i="1"/>
  <c r="BT7" i="1"/>
  <c r="W8" i="1"/>
  <c r="BU8" i="1"/>
  <c r="CO8" i="1"/>
  <c r="BU9" i="1"/>
  <c r="CC9" i="1"/>
  <c r="W10" i="1"/>
  <c r="CM10" i="1"/>
  <c r="CN10" i="1"/>
  <c r="W11" i="1"/>
  <c r="CM11" i="1"/>
  <c r="FP11" i="1"/>
  <c r="W12" i="1"/>
  <c r="CP12" i="1"/>
  <c r="CQ12" i="1"/>
  <c r="W13" i="1"/>
  <c r="DV13" i="1"/>
  <c r="DW13" i="1"/>
  <c r="W14" i="1"/>
  <c r="GM14" i="1"/>
  <c r="GN14" i="1"/>
  <c r="W15" i="1"/>
  <c r="GM15" i="1"/>
  <c r="GN15" i="1"/>
  <c r="W16" i="1"/>
  <c r="HL16" i="1"/>
  <c r="HM16" i="1"/>
  <c r="W17" i="1"/>
  <c r="HL17" i="1"/>
  <c r="HM17" i="1"/>
  <c r="W18" i="1"/>
  <c r="BU18" i="1"/>
  <c r="CA18" i="1"/>
  <c r="W19" i="1"/>
  <c r="BU19" i="1"/>
  <c r="CA19" i="1"/>
  <c r="W20" i="1"/>
  <c r="BU20" i="1"/>
  <c r="CE20" i="1"/>
  <c r="W21" i="1"/>
  <c r="CA21" i="1"/>
  <c r="CD21" i="1"/>
  <c r="W22" i="1"/>
  <c r="CA22" i="1"/>
  <c r="CF22" i="1"/>
  <c r="W23" i="1"/>
  <c r="CA23" i="1"/>
  <c r="CB23" i="1"/>
  <c r="W24" i="1"/>
  <c r="CO24" i="1"/>
  <c r="CP24" i="1"/>
  <c r="W25" i="1"/>
  <c r="CO25" i="1"/>
  <c r="CP25" i="1"/>
  <c r="W26" i="1"/>
  <c r="CV26" i="1"/>
  <c r="CW26" i="1"/>
  <c r="W27" i="1"/>
  <c r="CV27" i="1"/>
  <c r="CW27" i="1"/>
  <c r="W28" i="1"/>
  <c r="DC28" i="1"/>
  <c r="DD28" i="1"/>
  <c r="W33" i="1"/>
  <c r="DC33" i="1"/>
  <c r="DD33" i="1"/>
  <c r="W34" i="1"/>
  <c r="DX34" i="1"/>
  <c r="DY34" i="1"/>
  <c r="W35" i="1"/>
  <c r="DX35" i="1"/>
  <c r="DY35" i="1"/>
  <c r="W36" i="1"/>
  <c r="DX36" i="1"/>
  <c r="DY36" i="1"/>
  <c r="W37" i="1"/>
  <c r="DX37" i="1"/>
  <c r="DY37" i="1"/>
  <c r="W38" i="1"/>
  <c r="DX38" i="1"/>
  <c r="DY38" i="1"/>
  <c r="W39" i="1"/>
  <c r="DX39" i="1"/>
  <c r="DY39" i="1"/>
  <c r="W52" i="1"/>
  <c r="DX52" i="1"/>
  <c r="DY52" i="1"/>
  <c r="W66" i="1"/>
  <c r="EL66" i="1"/>
  <c r="EM66" i="1"/>
  <c r="W73" i="1"/>
  <c r="FN73" i="1"/>
  <c r="FO73" i="1"/>
  <c r="W74" i="1"/>
  <c r="FN74" i="1"/>
  <c r="FO74" i="1"/>
  <c r="W75" i="1"/>
  <c r="GI75" i="1"/>
  <c r="GJ75" i="1"/>
  <c r="W76" i="1"/>
  <c r="GI76" i="1"/>
  <c r="GJ76" i="1"/>
  <c r="W77" i="1"/>
  <c r="GI77" i="1"/>
  <c r="GJ77" i="1"/>
  <c r="W78" i="1"/>
  <c r="GI78" i="1"/>
  <c r="GJ78" i="1"/>
  <c r="W79" i="1"/>
  <c r="GM79" i="1"/>
  <c r="GN79" i="1"/>
  <c r="R5" i="1"/>
  <c r="R38" i="1"/>
  <c r="R10" i="1"/>
  <c r="R9" i="1"/>
  <c r="R19" i="1"/>
  <c r="W9" i="1"/>
  <c r="R15" i="1"/>
  <c r="R20" i="1"/>
  <c r="R22" i="1"/>
  <c r="R36" i="1"/>
  <c r="R66" i="1"/>
  <c r="R18" i="1"/>
  <c r="R16" i="1"/>
  <c r="W7" i="1"/>
  <c r="R52" i="1"/>
  <c r="R76" i="1"/>
  <c r="R23" i="1"/>
  <c r="R73" i="1"/>
  <c r="R14" i="1"/>
  <c r="R75" i="1"/>
  <c r="R26" i="1"/>
  <c r="R28" i="1"/>
  <c r="R34" i="1"/>
  <c r="R74" i="1"/>
  <c r="R35" i="1"/>
  <c r="R21" i="1"/>
  <c r="R8" i="1"/>
  <c r="R24" i="1"/>
  <c r="R78" i="1"/>
  <c r="R12" i="1"/>
  <c r="R37" i="1"/>
  <c r="R39" i="1"/>
  <c r="R7" i="1"/>
  <c r="R27" i="1"/>
  <c r="R25" i="1"/>
  <c r="R33" i="1"/>
  <c r="R6" i="1"/>
  <c r="R79" i="1"/>
  <c r="R11" i="1"/>
  <c r="R17" i="1"/>
  <c r="R77" i="1"/>
  <c r="R13" i="1"/>
  <c r="S79" i="1" l="1"/>
  <c r="S36" i="1"/>
  <c r="S17" i="1"/>
  <c r="S39" i="1"/>
  <c r="S38" i="1"/>
  <c r="S75" i="1"/>
  <c r="S28" i="1"/>
  <c r="S16" i="1"/>
  <c r="S14" i="1"/>
  <c r="S78" i="1"/>
  <c r="S35" i="1"/>
  <c r="S77" i="1"/>
  <c r="S34" i="1"/>
  <c r="S76" i="1"/>
  <c r="S52" i="1"/>
  <c r="S37" i="1"/>
  <c r="S74" i="1"/>
  <c r="S73" i="1"/>
  <c r="S15" i="1"/>
  <c r="S66" i="1"/>
  <c r="S13" i="1"/>
  <c r="S10" i="1"/>
  <c r="S12" i="1"/>
  <c r="D30" i="29"/>
  <c r="E7" i="29"/>
  <c r="H106" i="28"/>
  <c r="S25" i="1"/>
  <c r="S8" i="1"/>
  <c r="S7" i="1"/>
  <c r="S9" i="1"/>
  <c r="S24" i="1"/>
  <c r="S27" i="1"/>
  <c r="S23" i="1"/>
  <c r="S22" i="1"/>
  <c r="S21" i="1"/>
  <c r="S20" i="1"/>
  <c r="S19" i="1"/>
  <c r="S18" i="1"/>
  <c r="S26" i="1"/>
  <c r="S11" i="1"/>
  <c r="S6" i="1"/>
  <c r="S33" i="1"/>
  <c r="S5" i="1"/>
  <c r="F7" i="29" l="1"/>
  <c r="E8" i="29"/>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F8" i="29" l="1"/>
  <c r="E9" i="29"/>
  <c r="B24" i="15"/>
  <c r="D1" i="1"/>
  <c r="AB1" i="1"/>
  <c r="AB2" i="1"/>
  <c r="E10" i="29" l="1"/>
  <c r="F9" i="29"/>
  <c r="E11" i="29" l="1"/>
  <c r="F10" i="29"/>
  <c r="E12" i="29" l="1"/>
  <c r="F11" i="29"/>
  <c r="E13" i="29" l="1"/>
  <c r="F12" i="29"/>
  <c r="E14" i="29" l="1"/>
  <c r="F13" i="29"/>
  <c r="E15" i="29" l="1"/>
  <c r="F14" i="29"/>
  <c r="E16" i="29" l="1"/>
  <c r="F15" i="29"/>
  <c r="F16" i="29" l="1"/>
  <c r="E17" i="29"/>
  <c r="E18" i="29" l="1"/>
  <c r="F17" i="29"/>
  <c r="E19" i="29" l="1"/>
  <c r="F18" i="29"/>
  <c r="E20" i="29" l="1"/>
  <c r="F19" i="29"/>
  <c r="F20" i="29" l="1"/>
  <c r="E21" i="29"/>
  <c r="E22" i="29" l="1"/>
  <c r="F21" i="29"/>
  <c r="E23" i="29" l="1"/>
  <c r="F22" i="29"/>
  <c r="E24" i="29" l="1"/>
  <c r="F23" i="29"/>
  <c r="F24" i="29" l="1"/>
  <c r="E25" i="29"/>
  <c r="E26" i="29" l="1"/>
  <c r="F25" i="29"/>
  <c r="E27" i="29" l="1"/>
  <c r="F26" i="29"/>
  <c r="E28" i="29" l="1"/>
  <c r="F27" i="29"/>
  <c r="E29" i="29" l="1"/>
  <c r="F29" i="29" s="1"/>
  <c r="F28" i="29"/>
</calcChain>
</file>

<file path=xl/sharedStrings.xml><?xml version="1.0" encoding="utf-8"?>
<sst xmlns="http://schemas.openxmlformats.org/spreadsheetml/2006/main" count="1865" uniqueCount="1256">
  <si>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</si>
  <si>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</si>
  <si>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</si>
  <si>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</si>
  <si>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</si>
  <si>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</si>
  <si>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</si>
  <si>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</si>
  <si>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</si>
  <si>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</si>
  <si>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</si>
  <si>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</si>
  <si>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</si>
  <si>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</si>
  <si>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</si>
  <si>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</si>
  <si>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</si>
  <si>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</si>
  <si>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</si>
  <si>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</si>
  <si>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</si>
  <si>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</si>
  <si>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</si>
  <si>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</si>
  <si>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</si>
  <si>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</si>
  <si>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</si>
  <si>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</si>
  <si>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</si>
  <si>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</si>
  <si>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</si>
  <si>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</si>
  <si>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</si>
  <si>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</si>
  <si>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</si>
  <si>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</si>
  <si>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</si>
  <si>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</si>
  <si>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</si>
  <si>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</si>
  <si>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</si>
  <si>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</si>
  <si>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</si>
  <si>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</si>
  <si>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</si>
  <si>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</si>
  <si>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</si>
  <si>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</si>
  <si>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</si>
  <si>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</si>
  <si>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</si>
  <si>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</si>
  <si>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</si>
  <si>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</si>
  <si>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</si>
  <si>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</si>
  <si>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</si>
  <si>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</si>
  <si>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</si>
  <si>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</si>
  <si>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</si>
  <si>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</si>
  <si>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</si>
  <si>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</si>
  <si>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</si>
  <si>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</si>
  <si>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</si>
  <si>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</si>
  <si>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</si>
  <si>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</si>
  <si>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</si>
  <si>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</si>
  <si>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</si>
  <si>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</si>
  <si>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</si>
  <si>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</si>
  <si>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</si>
  <si>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</si>
  <si>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</si>
  <si>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</si>
  <si>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</si>
  <si>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</si>
  <si>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</si>
  <si>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</si>
  <si>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</si>
  <si>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</si>
  <si>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</si>
  <si>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</si>
  <si>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</si>
  <si>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</si>
  <si>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</si>
  <si>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</si>
  <si>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</si>
  <si>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</si>
  <si>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</si>
  <si>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</si>
  <si>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</si>
  <si>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</si>
  <si>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</si>
  <si>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</si>
  <si>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</si>
  <si>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</si>
  <si>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</si>
  <si>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</si>
  <si>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</si>
  <si>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</si>
  <si>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</si>
  <si>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</si>
  <si>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</si>
  <si>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</si>
  <si>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</si>
  <si>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</si>
  <si>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</si>
  <si>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</si>
  <si>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</si>
  <si>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</si>
  <si>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</si>
  <si>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</si>
  <si>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</si>
  <si>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</si>
  <si>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</si>
  <si>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</si>
  <si>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</si>
  <si>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</si>
  <si>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</si>
  <si>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</si>
  <si>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</si>
  <si>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</si>
  <si>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</si>
  <si>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</si>
  <si>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</si>
  <si>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</si>
  <si>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</si>
  <si>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</si>
  <si>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</si>
  <si>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</si>
  <si>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</si>
  <si>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</si>
  <si>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</si>
  <si>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</si>
  <si>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</si>
  <si>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</si>
  <si>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</si>
  <si>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</si>
  <si>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</si>
  <si>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</si>
  <si>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</si>
  <si>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</si>
  <si>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</si>
  <si>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</si>
  <si>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</si>
  <si>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</si>
  <si>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</si>
  <si>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</si>
  <si>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</si>
  <si>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</si>
  <si>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</si>
  <si>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</si>
  <si>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</si>
  <si>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</si>
  <si>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</si>
  <si>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</si>
  <si>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</si>
  <si>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</si>
  <si>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</si>
  <si>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</si>
  <si>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</si>
  <si>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</si>
  <si>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</si>
  <si>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</si>
  <si>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</si>
  <si>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</si>
  <si>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</si>
  <si>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</si>
  <si>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</si>
  <si>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</si>
  <si>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</si>
  <si>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</si>
  <si>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</si>
  <si>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</si>
  <si>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</si>
  <si>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</si>
  <si>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</si>
  <si>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</si>
  <si>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</si>
  <si>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</si>
  <si>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</si>
  <si>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</si>
  <si>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</si>
  <si>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</si>
  <si>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</si>
  <si>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</si>
  <si>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</si>
  <si>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</si>
  <si>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</si>
  <si>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</si>
  <si>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</si>
  <si>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</si>
  <si>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</si>
  <si>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</si>
  <si>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</si>
  <si>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</si>
  <si>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</si>
  <si>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</si>
  <si>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</si>
  <si>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</si>
  <si>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</si>
  <si>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</si>
  <si>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</si>
  <si>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</si>
  <si>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</si>
  <si>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</si>
  <si>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</si>
  <si>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</si>
  <si>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</si>
  <si>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</si>
  <si>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</si>
  <si>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</si>
  <si>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</si>
  <si>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</si>
  <si>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</si>
  <si>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</si>
  <si>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</si>
  <si>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</si>
  <si>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</si>
  <si>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</si>
  <si>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</si>
  <si>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</si>
  <si>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</si>
  <si>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</si>
  <si>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</si>
  <si>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</si>
  <si>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</si>
  <si>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</si>
  <si>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</si>
  <si>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</si>
  <si>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</si>
  <si>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</si>
  <si>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</si>
  <si>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</si>
  <si>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</si>
  <si>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</si>
  <si>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</si>
  <si>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</si>
  <si>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</si>
  <si>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</si>
  <si>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</si>
  <si>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</si>
  <si>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</si>
  <si>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</si>
  <si>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</si>
  <si>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</si>
  <si>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</si>
  <si>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</si>
  <si>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</si>
  <si>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</si>
  <si>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</si>
  <si>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</si>
  <si>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</si>
  <si>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</si>
  <si>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</si>
  <si>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</si>
  <si>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</si>
  <si>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</si>
  <si>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</si>
  <si>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</si>
  <si>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</si>
  <si>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</si>
  <si>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</si>
  <si>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</si>
  <si>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</si>
  <si>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</si>
  <si>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</si>
  <si>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</si>
  <si>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</si>
  <si>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</si>
  <si>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</si>
  <si>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</si>
  <si>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</si>
  <si>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</si>
  <si>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</si>
  <si>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</si>
  <si>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</si>
  <si>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</si>
  <si>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</si>
  <si>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</si>
  <si>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</si>
  <si>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</si>
  <si>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</si>
  <si>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</si>
  <si>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</si>
  <si>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</si>
  <si>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</si>
  <si>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</si>
  <si>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</si>
  <si>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</si>
  <si>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</si>
  <si>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</si>
  <si>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</si>
  <si>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</si>
  <si>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</si>
  <si>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</si>
  <si>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</si>
  <si>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</si>
  <si>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</si>
  <si>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</si>
  <si>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</si>
  <si>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</si>
  <si>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</si>
  <si>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</si>
  <si>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</si>
  <si>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</si>
  <si>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</si>
  <si>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</si>
  <si>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</si>
  <si>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</si>
  <si>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</si>
  <si>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</si>
  <si>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</si>
  <si>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</si>
  <si>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</si>
  <si>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</si>
  <si>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</si>
  <si>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</si>
  <si>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</si>
  <si>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</si>
  <si>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</si>
  <si>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</si>
  <si>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</si>
  <si>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</si>
  <si>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</si>
  <si>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</si>
  <si>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</si>
  <si>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</si>
  <si>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</si>
  <si>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</si>
  <si>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</si>
  <si>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</si>
  <si>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</si>
  <si>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</si>
  <si>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</si>
  <si>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</si>
  <si>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</si>
  <si>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</si>
  <si>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</si>
  <si>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</si>
  <si>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</si>
  <si>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</si>
  <si>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</si>
  <si>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</si>
  <si>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</si>
  <si>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</si>
  <si>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</si>
  <si>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</si>
  <si>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</si>
  <si>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</si>
  <si>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</si>
  <si>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</si>
  <si>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</si>
  <si>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</si>
  <si>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</si>
  <si>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</si>
  <si>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</si>
  <si>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</si>
  <si>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</si>
  <si>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</si>
  <si>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</si>
  <si>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</si>
  <si>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</si>
  <si>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</si>
  <si>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</si>
  <si>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</si>
  <si>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</si>
  <si>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</si>
  <si>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</si>
  <si>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</si>
  <si>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</si>
  <si>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</si>
  <si>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</si>
  <si>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</si>
  <si>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</si>
  <si>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</si>
  <si>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</si>
  <si>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</si>
  <si>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</si>
  <si>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</si>
  <si>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</si>
  <si>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</si>
  <si>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</si>
  <si>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</si>
  <si>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</si>
  <si>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</si>
  <si>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</si>
  <si>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</si>
  <si>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</si>
  <si>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</si>
  <si>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</si>
  <si>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</si>
  <si>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</si>
  <si>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</si>
  <si>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</si>
  <si>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</si>
  <si>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</si>
  <si>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</si>
  <si>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</si>
  <si>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</si>
  <si>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</si>
  <si>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</si>
  <si>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</si>
  <si>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</si>
  <si>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</si>
  <si>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</si>
  <si>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</si>
  <si>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</si>
  <si>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</si>
  <si>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</si>
  <si>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</si>
  <si>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</si>
  <si>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</si>
  <si>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</si>
  <si>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</si>
  <si>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</si>
  <si>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</si>
  <si>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</si>
  <si>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</si>
  <si>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</si>
  <si>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</si>
  <si>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</si>
  <si>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</si>
  <si>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</si>
  <si>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</si>
  <si>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</si>
  <si>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</si>
  <si>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</si>
  <si>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</si>
  <si>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</si>
  <si>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</si>
  <si>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</si>
  <si>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</si>
  <si>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</si>
  <si>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</si>
  <si>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</si>
  <si>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</si>
  <si>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</si>
  <si>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</si>
  <si>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</si>
  <si>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</si>
  <si>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</si>
  <si>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</si>
  <si>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</si>
  <si>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</si>
  <si>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</si>
  <si>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</si>
  <si>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</si>
  <si>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</si>
  <si>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</si>
  <si>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</si>
  <si>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</si>
  <si>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</si>
  <si>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</si>
  <si>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</si>
  <si>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</si>
  <si>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</si>
  <si>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</si>
  <si>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</si>
  <si>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</si>
  <si>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</si>
  <si>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</si>
  <si>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</si>
  <si>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</si>
  <si>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</si>
  <si>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</si>
  <si>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</si>
  <si>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</si>
  <si>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</si>
  <si>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</si>
  <si>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</si>
  <si>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</si>
  <si>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</si>
  <si>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</si>
  <si>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</si>
  <si>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</si>
  <si>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</si>
  <si>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</si>
  <si>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</si>
  <si>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</si>
  <si>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</si>
  <si>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</si>
  <si>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</si>
  <si>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</si>
  <si>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</si>
  <si>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</si>
  <si>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</si>
  <si>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</si>
  <si>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</si>
  <si>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</si>
  <si>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</si>
  <si>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</si>
  <si>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</si>
  <si>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</si>
  <si>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</si>
  <si>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</si>
  <si>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</si>
  <si>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</si>
  <si>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</si>
  <si>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</si>
  <si>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</si>
  <si>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</si>
  <si>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</si>
  <si>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</si>
  <si>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</si>
  <si>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</si>
  <si>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</si>
  <si>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</si>
  <si>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</si>
  <si>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</si>
  <si>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</si>
  <si>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</si>
  <si>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</si>
  <si>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</si>
  <si>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</si>
  <si>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</si>
  <si>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</si>
  <si>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</si>
  <si>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</si>
  <si>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</si>
  <si>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</si>
  <si>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</si>
  <si>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</si>
  <si>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</si>
  <si>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</si>
  <si>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</si>
  <si>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</si>
  <si>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</si>
  <si>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</si>
  <si>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</si>
  <si>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</si>
  <si>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</si>
  <si>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</si>
  <si>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</si>
  <si>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</si>
  <si>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</si>
  <si>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</si>
  <si>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</si>
  <si>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</si>
  <si>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</si>
  <si>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</si>
  <si>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</si>
  <si>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</si>
  <si>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</si>
  <si>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</si>
  <si>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</si>
  <si>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</si>
  <si>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</si>
  <si>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</si>
  <si>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</si>
  <si>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</si>
  <si>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</si>
  <si>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</si>
  <si>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</si>
  <si>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</si>
  <si>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</si>
  <si>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</si>
  <si>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</si>
  <si>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</si>
  <si>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</si>
  <si>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</si>
  <si>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</si>
  <si>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</si>
  <si>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</si>
  <si>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</si>
  <si>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</si>
  <si>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</si>
  <si>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</si>
  <si>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</si>
  <si>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</si>
  <si>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</si>
  <si>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</si>
  <si>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</si>
  <si>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</si>
  <si>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</si>
  <si>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</si>
  <si>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</si>
  <si>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</si>
  <si>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</si>
  <si>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</si>
  <si>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</si>
  <si>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</si>
  <si>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</si>
  <si>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</si>
  <si>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</si>
  <si>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</si>
  <si>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</si>
  <si>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</si>
  <si>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</si>
  <si>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</si>
  <si>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</si>
  <si>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</si>
  <si>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</si>
  <si>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</si>
  <si>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</si>
  <si>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</si>
  <si>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</si>
  <si>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</si>
  <si>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</si>
  <si>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</si>
  <si>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</si>
  <si>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</si>
  <si>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</si>
  <si>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</si>
  <si>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</si>
  <si>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</si>
  <si>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</si>
  <si>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</si>
  <si>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</si>
  <si>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</si>
  <si>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</si>
  <si>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</si>
  <si>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</si>
  <si>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</si>
  <si>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</si>
  <si>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</si>
  <si>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</si>
  <si>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</si>
  <si>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</si>
  <si>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</si>
  <si>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</si>
  <si>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</si>
  <si>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</si>
  <si>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</si>
  <si>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</si>
  <si>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</si>
  <si>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</si>
  <si>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</si>
  <si>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</si>
  <si>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</si>
  <si>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</si>
  <si>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</si>
  <si>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</si>
  <si>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</si>
  <si>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</si>
  <si>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</si>
  <si>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</si>
  <si>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</si>
  <si>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</si>
  <si>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</si>
  <si>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</si>
  <si>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</si>
  <si>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</si>
  <si>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</si>
  <si>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</si>
  <si>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</si>
  <si>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</si>
  <si>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</si>
  <si>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</si>
  <si>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</si>
  <si>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</si>
  <si>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</si>
  <si>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</si>
  <si>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</si>
  <si>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</si>
  <si>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</si>
  <si>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</si>
  <si>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</si>
  <si>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</si>
  <si>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</si>
  <si>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</si>
  <si>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</si>
  <si>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</si>
  <si>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</si>
  <si>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</si>
  <si>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</si>
  <si>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</si>
  <si>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</si>
  <si>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</si>
  <si>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</si>
  <si>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</si>
  <si>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</si>
  <si>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</si>
  <si>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</si>
  <si>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</si>
  <si>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</si>
  <si>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</si>
  <si>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</si>
  <si>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</si>
  <si>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</si>
  <si>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</si>
  <si>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</si>
  <si>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</si>
  <si>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</si>
  <si>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</si>
  <si>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</si>
  <si>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</si>
  <si>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</si>
  <si>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</si>
  <si>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</si>
  <si>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</si>
  <si>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</si>
  <si>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</si>
  <si>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</si>
  <si>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</si>
  <si>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</si>
  <si>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</si>
  <si>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</si>
  <si>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</si>
  <si>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</si>
  <si>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</si>
  <si>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</si>
  <si>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</si>
  <si>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</si>
  <si>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</si>
  <si>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</si>
  <si>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</si>
  <si>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</si>
  <si>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</si>
  <si>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</si>
  <si>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</si>
  <si>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</si>
  <si>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</si>
  <si>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</si>
  <si>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</si>
  <si>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</si>
  <si>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</si>
  <si>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</si>
  <si>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</si>
  <si>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</si>
  <si>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</si>
  <si>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</si>
  <si>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</si>
  <si>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</si>
  <si>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</si>
  <si>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</si>
  <si>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</si>
  <si>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</si>
  <si>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</si>
  <si>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</si>
  <si>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</si>
  <si>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</si>
  <si>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</si>
  <si>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</si>
  <si>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</si>
  <si>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</si>
  <si>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</si>
  <si>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</si>
  <si>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</si>
  <si>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</si>
  <si>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</si>
  <si>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</si>
  <si>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</si>
  <si>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</si>
  <si>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</si>
  <si>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</si>
  <si>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</si>
  <si>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</si>
  <si>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</si>
  <si>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</si>
  <si>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</si>
  <si>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</si>
  <si>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</si>
  <si>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</si>
  <si>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</si>
  <si>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</si>
  <si>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</si>
  <si>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</si>
  <si>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</si>
  <si>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</si>
  <si>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</si>
  <si>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</si>
  <si>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</si>
  <si>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</si>
  <si>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</si>
  <si>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</si>
  <si>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</si>
  <si>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</si>
  <si>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</si>
  <si>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</si>
  <si>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</si>
  <si>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</si>
  <si>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</si>
  <si>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</si>
  <si>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</si>
  <si>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</si>
  <si>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</si>
  <si>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</si>
  <si>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</si>
  <si>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</si>
  <si>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</si>
  <si>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</si>
  <si>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</si>
  <si>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</si>
  <si>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</si>
  <si>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</si>
  <si>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</si>
  <si>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</si>
  <si>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</si>
  <si>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</si>
  <si>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</si>
  <si>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</si>
  <si>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</si>
  <si>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</si>
  <si>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</si>
  <si>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</si>
  <si>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</si>
  <si>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</si>
  <si>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</si>
  <si>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</si>
  <si>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</si>
  <si>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</si>
  <si>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</si>
  <si>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</si>
  <si>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</si>
  <si>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</si>
  <si>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</si>
  <si>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</si>
  <si>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</si>
  <si>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</si>
  <si>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</si>
  <si>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</si>
  <si>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</si>
  <si>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</si>
  <si>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</si>
  <si>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</si>
  <si>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</si>
  <si>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</si>
  <si>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</si>
  <si>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</si>
  <si>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</si>
  <si>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</si>
  <si>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</si>
  <si>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</si>
  <si>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</si>
  <si>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</si>
  <si>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</si>
  <si>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</si>
  <si>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</si>
  <si>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</si>
  <si>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</si>
  <si>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</si>
  <si>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</si>
  <si>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</si>
  <si>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</si>
  <si>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</si>
  <si>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</si>
  <si>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</si>
  <si>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</si>
  <si>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</si>
  <si>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</si>
  <si>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</si>
  <si>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</si>
  <si>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</si>
  <si>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</si>
  <si>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</si>
  <si>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</si>
  <si>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</si>
  <si>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</si>
  <si>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</si>
  <si>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</si>
  <si>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</si>
  <si>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</si>
  <si>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</si>
  <si>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</si>
  <si>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</si>
  <si>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</si>
  <si>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</si>
  <si>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</si>
  <si>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</si>
  <si>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</si>
  <si>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</si>
  <si>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</si>
  <si>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</si>
  <si>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</si>
  <si>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</si>
  <si>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</si>
  <si>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</si>
  <si>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</si>
  <si>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</si>
  <si>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</si>
  <si>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</si>
  <si>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</si>
  <si>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</si>
  <si>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</si>
  <si>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</si>
  <si>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</si>
  <si>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</si>
  <si>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</si>
  <si>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</si>
  <si>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</si>
  <si>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</si>
  <si>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</si>
  <si>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</si>
  <si>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</si>
  <si>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</si>
  <si>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</si>
  <si>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</si>
  <si>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</si>
  <si>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</si>
  <si>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</si>
  <si>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</si>
  <si>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</si>
  <si>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</si>
  <si>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</si>
  <si>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</si>
  <si>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</si>
  <si>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</si>
  <si>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</si>
  <si>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</si>
  <si>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</si>
  <si>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</si>
  <si>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</si>
  <si>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</si>
  <si>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</si>
  <si>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</si>
  <si>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</si>
  <si>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</si>
  <si>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</si>
  <si>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</si>
  <si>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</si>
  <si>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</si>
  <si>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</si>
  <si>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</si>
  <si>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</si>
  <si>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</si>
  <si>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</si>
  <si>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</si>
  <si>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</si>
  <si>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</si>
  <si>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</si>
  <si>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</si>
  <si>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</si>
  <si>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</si>
  <si>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</si>
  <si>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</si>
  <si>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</si>
  <si>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</si>
  <si>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</si>
  <si>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</si>
  <si>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</si>
  <si>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</si>
  <si>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</si>
  <si>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</si>
  <si>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</si>
  <si>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</si>
  <si>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</si>
  <si>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</si>
  <si>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</si>
  <si>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</si>
  <si>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</si>
  <si>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</si>
  <si>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</si>
  <si>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</si>
  <si>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월간보고1</t>
  </si>
  <si>
    <t>김길동</t>
  </si>
  <si>
    <t>월간보고2</t>
  </si>
  <si>
    <t>월간보고3</t>
  </si>
  <si>
    <t>중간보고</t>
  </si>
  <si>
    <t>프로젝트 종료</t>
  </si>
  <si>
    <t>종료계획수립</t>
  </si>
  <si>
    <t>시스템 인수인계</t>
  </si>
  <si>
    <t>종료보고</t>
  </si>
  <si>
    <t>검수 및 종료</t>
  </si>
  <si>
    <t>시스템 개발</t>
  </si>
  <si>
    <t>요구사항정의</t>
  </si>
  <si>
    <t>논리모델구축</t>
  </si>
  <si>
    <t>프로세스모델링</t>
  </si>
  <si>
    <t>정길동</t>
  </si>
  <si>
    <t>데이터모델링</t>
  </si>
  <si>
    <t>설계</t>
  </si>
  <si>
    <t>UI 설계</t>
  </si>
  <si>
    <t>유아인</t>
  </si>
  <si>
    <t>시스템 설계</t>
  </si>
  <si>
    <t>Architecture설계</t>
  </si>
  <si>
    <t>김아키</t>
  </si>
  <si>
    <t>데이터베이스설계</t>
  </si>
  <si>
    <t>김디비</t>
  </si>
  <si>
    <t>프로그램설계</t>
  </si>
  <si>
    <t>김프로</t>
  </si>
  <si>
    <t>테스트 설계</t>
  </si>
  <si>
    <t>개발</t>
  </si>
  <si>
    <t>프로그램 개발</t>
  </si>
  <si>
    <t>단위테스트시나리오작성</t>
  </si>
  <si>
    <t>프로그램코딩 및 단위테스트</t>
  </si>
  <si>
    <t>프로그램A</t>
  </si>
  <si>
    <t>이개발</t>
  </si>
  <si>
    <t>프로그램B</t>
  </si>
  <si>
    <t>박개발</t>
  </si>
  <si>
    <t>프로그램C</t>
  </si>
  <si>
    <t>모듈B</t>
  </si>
  <si>
    <t>모듈C</t>
  </si>
  <si>
    <t>모듈D</t>
  </si>
  <si>
    <t>테스트실시</t>
  </si>
  <si>
    <t>통합테스트실시</t>
  </si>
  <si>
    <t>시스템테스트실시</t>
  </si>
  <si>
    <t>구현</t>
  </si>
  <si>
    <t>구현준비</t>
  </si>
  <si>
    <t>Release 및 Contingency plan수립</t>
  </si>
  <si>
    <t>Conversion 및 Release</t>
  </si>
  <si>
    <t>데이터베이스구축</t>
  </si>
  <si>
    <t>소프트웨어설치</t>
  </si>
  <si>
    <t>인수테스트실시</t>
  </si>
  <si>
    <t>시스템오픈</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</si>
  <si>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</si>
  <si>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</si>
  <si>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</si>
  <si>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</si>
  <si>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</si>
  <si>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</si>
  <si>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</si>
  <si>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</si>
  <si>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</si>
  <si>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</si>
  <si>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</si>
  <si>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</si>
  <si>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</si>
  <si>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</si>
  <si>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</si>
  <si>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</si>
  <si>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</si>
  <si>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</si>
  <si>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</si>
  <si>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</si>
  <si>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</si>
  <si>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</si>
  <si>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</si>
  <si>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</si>
  <si>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</si>
  <si>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</si>
  <si>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</si>
  <si>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1.1.2.1</t>
  </si>
  <si>
    <t>1.1.2.2</t>
  </si>
  <si>
    <t>1.2.1</t>
  </si>
  <si>
    <t>1.2.2</t>
  </si>
  <si>
    <t>1.2.3</t>
  </si>
  <si>
    <t>1.2.4</t>
  </si>
  <si>
    <t>1.3.1</t>
  </si>
  <si>
    <t>1.3.2</t>
  </si>
  <si>
    <t>1.3.3</t>
  </si>
  <si>
    <t>1.3.4</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</si>
  <si>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</si>
  <si>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</si>
  <si>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</si>
  <si>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</si>
  <si>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</si>
  <si>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</si>
  <si>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</si>
  <si>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</si>
  <si>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</si>
  <si>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</si>
  <si>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</si>
  <si>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</si>
  <si>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</si>
  <si>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</si>
  <si>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</si>
  <si>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</si>
  <si>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</si>
  <si>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</si>
  <si>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</si>
  <si>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</si>
  <si>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</si>
  <si>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2.4.2.4</t>
  </si>
  <si>
    <t>이길동</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</si>
  <si>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</si>
  <si>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</si>
  <si>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</si>
  <si>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</si>
  <si>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</si>
  <si>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</si>
  <si>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</si>
  <si>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</si>
  <si>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</si>
  <si>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</si>
  <si>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</si>
  <si>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</si>
  <si>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</si>
  <si>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</si>
  <si>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</si>
  <si>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</si>
  <si>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</si>
  <si>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</si>
  <si>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</si>
  <si>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</si>
  <si>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</si>
  <si>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</si>
  <si>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</si>
  <si>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</si>
  <si>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</si>
  <si>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</si>
  <si>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</si>
  <si>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</si>
  <si>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</si>
  <si>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</si>
  <si>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</si>
  <si>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</si>
  <si>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</si>
  <si>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</si>
  <si>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</si>
  <si>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</si>
  <si>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</si>
  <si>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</si>
  <si>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</si>
  <si>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</si>
  <si>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</si>
  <si>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</si>
  <si>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</si>
  <si>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</si>
  <si>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</si>
  <si>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</si>
  <si>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</si>
  <si>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</si>
  <si>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</si>
  <si>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</si>
  <si>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</si>
  <si>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</si>
  <si>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</si>
  <si>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</si>
  <si>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</si>
  <si>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</si>
  <si>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txt</t>
    <phoneticPr fontId="1" type="noConversion"/>
  </si>
  <si>
    <t>C:\WINDOWS\system32\notepad.exe</t>
    <phoneticPr fontId="1" type="noConversion"/>
  </si>
  <si>
    <t>총_x000D_
기간</t>
    <phoneticPr fontId="1" type="noConversion"/>
  </si>
  <si>
    <t>{"TASK_FIRST_COL":"5","START_ROW":"5","WBS_AREA_LAST_COL":"28"}</t>
    <phoneticPr fontId="1" type="noConversion"/>
  </si>
  <si>
    <t>계획진척율(주별)</t>
  </si>
  <si>
    <t>* 주별로 프로젝트의 계획진적율을 보여줍니다.</t>
  </si>
  <si>
    <t>* "계획진척율" 메뉴를 클릭해야 갱신됨</t>
  </si>
  <si>
    <t>누적_x000D_
Man-Day</t>
  </si>
  <si>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</si>
  <si>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</si>
  <si>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</si>
  <si>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</si>
  <si>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</si>
  <si>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</si>
  <si>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</si>
  <si>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</si>
  <si>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OOOO 시스템 구축 프로젝트</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</si>
  <si>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</si>
  <si>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</si>
  <si>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</si>
  <si>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</si>
  <si>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</si>
  <si>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</si>
  <si>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</si>
  <si>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</si>
  <si>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</si>
  <si>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</si>
  <si>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</si>
  <si>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</si>
  <si>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</si>
  <si>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</si>
  <si>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</si>
  <si>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</si>
  <si>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</si>
  <si>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</si>
  <si>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</si>
  <si>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</si>
  <si>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</si>
  <si>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</si>
  <si>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</si>
  <si>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</si>
  <si>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</si>
  <si>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</si>
  <si>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</si>
  <si>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</si>
  <si>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</si>
  <si>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</si>
  <si>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</si>
  <si>
    <t>프로토 타입 발표</t>
    <phoneticPr fontId="1" type="noConversion"/>
  </si>
  <si>
    <t>최종 결과물 발표</t>
    <phoneticPr fontId="1" type="noConversion"/>
  </si>
  <si>
    <r>
      <t>B2C</t>
    </r>
    <r>
      <rPr>
        <sz val="9"/>
        <rFont val="Arial Unicode MS"/>
        <family val="2"/>
        <charset val="129"/>
      </rPr>
      <t>서비스</t>
    </r>
    <phoneticPr fontId="1" type="noConversion"/>
  </si>
  <si>
    <r>
      <t>B2C</t>
    </r>
    <r>
      <rPr>
        <sz val="9"/>
        <rFont val="Arial Unicode MS"/>
        <family val="2"/>
        <charset val="129"/>
      </rPr>
      <t xml:space="preserve">, </t>
    </r>
    <r>
      <rPr>
        <sz val="9"/>
        <rFont val="Calibri"/>
        <family val="2"/>
      </rPr>
      <t>B2B</t>
    </r>
    <r>
      <rPr>
        <sz val="9"/>
        <rFont val="Arial Unicode MS"/>
        <family val="2"/>
        <charset val="129"/>
      </rPr>
      <t>서비스</t>
    </r>
    <phoneticPr fontId="1" type="noConversion"/>
  </si>
  <si>
    <t>김명종</t>
    <phoneticPr fontId="1" type="noConversion"/>
  </si>
  <si>
    <t>간트 차트</t>
    <phoneticPr fontId="1" type="noConversion"/>
  </si>
  <si>
    <t>8조 전원</t>
    <phoneticPr fontId="1" type="noConversion"/>
  </si>
  <si>
    <r>
      <rPr>
        <sz val="9"/>
        <rFont val="맑은 고딕"/>
        <family val="3"/>
        <charset val="129"/>
      </rPr>
      <t>8조</t>
    </r>
    <r>
      <rPr>
        <sz val="9"/>
        <rFont val="Calibri"/>
        <family val="3"/>
      </rPr>
      <t xml:space="preserve"> </t>
    </r>
    <r>
      <rPr>
        <sz val="9"/>
        <rFont val="맑은 고딕"/>
        <family val="3"/>
        <charset val="129"/>
      </rPr>
      <t>전원</t>
    </r>
    <phoneticPr fontId="1" type="noConversion"/>
  </si>
  <si>
    <t>지은수</t>
    <phoneticPr fontId="1" type="noConversion"/>
  </si>
  <si>
    <t>이창목</t>
    <phoneticPr fontId="1" type="noConversion"/>
  </si>
  <si>
    <t>김주은,지은수</t>
    <phoneticPr fontId="1" type="noConversion"/>
  </si>
  <si>
    <t>김주은</t>
    <phoneticPr fontId="1" type="noConversion"/>
  </si>
  <si>
    <t>2.2.2.3</t>
    <phoneticPr fontId="1" type="noConversion"/>
  </si>
  <si>
    <t>2.2.2.4</t>
    <phoneticPr fontId="1" type="noConversion"/>
  </si>
  <si>
    <t>하드웨어 설계</t>
    <phoneticPr fontId="1" type="noConversion"/>
  </si>
  <si>
    <t>이상진</t>
    <phoneticPr fontId="1" type="noConversion"/>
  </si>
  <si>
    <t>데이터 베이스 스키마 구조</t>
    <phoneticPr fontId="1" type="noConversion"/>
  </si>
  <si>
    <t>1.3.2</t>
    <phoneticPr fontId="1" type="noConversion"/>
  </si>
  <si>
    <t>1.3.3</t>
    <phoneticPr fontId="1" type="noConversion"/>
  </si>
  <si>
    <t>모바일 프론트엔드</t>
    <phoneticPr fontId="1" type="noConversion"/>
  </si>
  <si>
    <t>하드웨어</t>
    <phoneticPr fontId="1" type="noConversion"/>
  </si>
  <si>
    <t>웹 프론트엔드</t>
    <phoneticPr fontId="1" type="noConversion"/>
  </si>
  <si>
    <t>백엔드</t>
    <phoneticPr fontId="1" type="noConversion"/>
  </si>
  <si>
    <t>화면 정의서 작성</t>
    <phoneticPr fontId="1" type="noConversion"/>
  </si>
  <si>
    <t>화면정의서</t>
    <phoneticPr fontId="1" type="noConversion"/>
  </si>
  <si>
    <t>김주은,이창목</t>
    <phoneticPr fontId="1" type="noConversion"/>
  </si>
  <si>
    <t>스토리보드 작성</t>
    <phoneticPr fontId="1" type="noConversion"/>
  </si>
  <si>
    <t>스토리보드</t>
    <phoneticPr fontId="1" type="noConversion"/>
  </si>
  <si>
    <t>김명종, 이상진</t>
    <phoneticPr fontId="1" type="noConversion"/>
  </si>
  <si>
    <t>이창목, 김주은</t>
    <phoneticPr fontId="1" type="noConversion"/>
  </si>
  <si>
    <r>
      <t>8</t>
    </r>
    <r>
      <rPr>
        <sz val="9"/>
        <rFont val="Arial Unicode MS"/>
        <family val="2"/>
        <charset val="129"/>
      </rPr>
      <t>조</t>
    </r>
    <r>
      <rPr>
        <sz val="9"/>
        <rFont val="Calibri"/>
        <family val="2"/>
      </rPr>
      <t xml:space="preserve"> </t>
    </r>
    <r>
      <rPr>
        <sz val="9"/>
        <rFont val="돋움"/>
        <family val="2"/>
        <charset val="129"/>
      </rPr>
      <t>전원</t>
    </r>
    <phoneticPr fontId="1" type="noConversion"/>
  </si>
  <si>
    <t>캡스톤 디자인</t>
    <phoneticPr fontId="1" type="noConversion"/>
  </si>
  <si>
    <t>2.2.2.3.1</t>
    <phoneticPr fontId="1" type="noConversion"/>
  </si>
  <si>
    <t>미세먼지 측정기 설계</t>
    <phoneticPr fontId="1" type="noConversion"/>
  </si>
  <si>
    <t>2.2.2.3.2</t>
    <phoneticPr fontId="1" type="noConversion"/>
  </si>
  <si>
    <t>와이파이 통신기 설계</t>
    <phoneticPr fontId="1" type="noConversion"/>
  </si>
  <si>
    <t>레이아웃 제작</t>
    <phoneticPr fontId="1" type="noConversion"/>
  </si>
  <si>
    <t>차트 제작</t>
    <phoneticPr fontId="1" type="noConversion"/>
  </si>
  <si>
    <t>마이그레이션</t>
    <phoneticPr fontId="1" type="noConversion"/>
  </si>
  <si>
    <t>컴포넌트 구현</t>
    <phoneticPr fontId="1" type="noConversion"/>
  </si>
  <si>
    <r>
      <t xml:space="preserve">PWA </t>
    </r>
    <r>
      <rPr>
        <sz val="9"/>
        <rFont val="Arial Unicode MS"/>
        <family val="2"/>
        <charset val="129"/>
      </rPr>
      <t>구현</t>
    </r>
    <phoneticPr fontId="1" type="noConversion"/>
  </si>
  <si>
    <t>API 제공 페이지 구현</t>
    <phoneticPr fontId="1" type="noConversion"/>
  </si>
  <si>
    <r>
      <t xml:space="preserve">ap </t>
    </r>
    <r>
      <rPr>
        <sz val="9"/>
        <rFont val="Arial Unicode MS"/>
        <family val="2"/>
        <charset val="129"/>
      </rPr>
      <t>통신</t>
    </r>
    <phoneticPr fontId="1" type="noConversion"/>
  </si>
  <si>
    <r>
      <t>rf</t>
    </r>
    <r>
      <rPr>
        <sz val="9"/>
        <rFont val="Arial Unicode MS"/>
        <family val="2"/>
        <charset val="129"/>
      </rPr>
      <t>통신</t>
    </r>
    <r>
      <rPr>
        <sz val="9"/>
        <rFont val="Calibri"/>
        <family val="2"/>
      </rPr>
      <t>[</t>
    </r>
    <r>
      <rPr>
        <sz val="9"/>
        <rFont val="Arial Unicode MS"/>
        <family val="2"/>
        <charset val="129"/>
      </rPr>
      <t>센서와 컨트롤러 연결</t>
    </r>
    <r>
      <rPr>
        <sz val="9"/>
        <rFont val="Calibri"/>
        <family val="2"/>
      </rPr>
      <t>]</t>
    </r>
    <phoneticPr fontId="1" type="noConversion"/>
  </si>
  <si>
    <t>지그비 통신 데이터 서버로 전송</t>
    <phoneticPr fontId="1" type="noConversion"/>
  </si>
  <si>
    <t>컨트롤러 구현</t>
    <phoneticPr fontId="1" type="noConversion"/>
  </si>
  <si>
    <t>데이터 전송</t>
    <phoneticPr fontId="1" type="noConversion"/>
  </si>
  <si>
    <t>디버깅 및 코드 최적화</t>
    <phoneticPr fontId="1" type="noConversion"/>
  </si>
  <si>
    <t>컨트롤러 제작[B2C 서비스]</t>
    <phoneticPr fontId="1" type="noConversion"/>
  </si>
  <si>
    <t>user authentication 구현</t>
    <phoneticPr fontId="1" type="noConversion"/>
  </si>
  <si>
    <t>컨트롤러 제작[B2B 서비스]</t>
    <phoneticPr fontId="1" type="noConversion"/>
  </si>
  <si>
    <t>개발 환경 구축</t>
    <phoneticPr fontId="1" type="noConversion"/>
  </si>
  <si>
    <r>
      <t xml:space="preserve">AWS EC2 </t>
    </r>
    <r>
      <rPr>
        <sz val="9"/>
        <rFont val="Arial Unicode MS"/>
        <family val="2"/>
        <charset val="129"/>
      </rPr>
      <t>인스턴스 생성</t>
    </r>
    <phoneticPr fontId="1" type="noConversion"/>
  </si>
  <si>
    <r>
      <t xml:space="preserve">AWS RDS </t>
    </r>
    <r>
      <rPr>
        <sz val="9"/>
        <rFont val="Arial Unicode MS"/>
        <family val="2"/>
        <charset val="129"/>
      </rPr>
      <t>연동</t>
    </r>
    <phoneticPr fontId="1" type="noConversion"/>
  </si>
  <si>
    <t>개발 라이브러리 설치</t>
    <phoneticPr fontId="1" type="noConversion"/>
  </si>
  <si>
    <t>서버 접속 테스트</t>
    <phoneticPr fontId="1" type="noConversion"/>
  </si>
  <si>
    <r>
      <t>EC2</t>
    </r>
    <r>
      <rPr>
        <sz val="9"/>
        <rFont val="Arial Unicode MS"/>
        <family val="2"/>
        <charset val="129"/>
      </rPr>
      <t>서버</t>
    </r>
    <phoneticPr fontId="1" type="noConversion"/>
  </si>
  <si>
    <t>레이아웃에 적용된 컴포넌트</t>
    <phoneticPr fontId="1" type="noConversion"/>
  </si>
  <si>
    <t>레이아웃 적용된 웹 페이지</t>
    <phoneticPr fontId="1" type="noConversion"/>
  </si>
  <si>
    <t>컴포넌트에 적용된 차트</t>
    <phoneticPr fontId="1" type="noConversion"/>
  </si>
  <si>
    <t>사용자가 필요한 정보를 요청할 수 있는 창</t>
    <phoneticPr fontId="1" type="noConversion"/>
  </si>
  <si>
    <t>메인 페이지 컴포넌트 구현</t>
    <phoneticPr fontId="1" type="noConversion"/>
  </si>
  <si>
    <t>twinmax, vuejs, MDB</t>
    <phoneticPr fontId="1" type="noConversion"/>
  </si>
  <si>
    <t>chart.js, vue.js, axios, ajax</t>
    <phoneticPr fontId="1" type="noConversion"/>
  </si>
  <si>
    <t>vue.js, json</t>
    <phoneticPr fontId="1" type="noConversion"/>
  </si>
  <si>
    <t>기본 레이아웃 화면</t>
    <phoneticPr fontId="1" type="noConversion"/>
  </si>
  <si>
    <t>ionic, move.js</t>
    <phoneticPr fontId="1" type="noConversion"/>
  </si>
  <si>
    <t>컴포넌트 적용 화면</t>
    <phoneticPr fontId="1" type="noConversion"/>
  </si>
  <si>
    <t>알람, 앱설치 화면 등 적용된 화면</t>
    <phoneticPr fontId="1" type="noConversion"/>
  </si>
  <si>
    <t>pwa</t>
    <phoneticPr fontId="1" type="noConversion"/>
  </si>
  <si>
    <t>중간 테스트</t>
    <phoneticPr fontId="1" type="noConversion"/>
  </si>
  <si>
    <t>더미데이터</t>
    <phoneticPr fontId="1" type="noConversion"/>
  </si>
  <si>
    <t>데이터 리턴값에 따른 화면 전환</t>
    <phoneticPr fontId="1" type="noConversion"/>
  </si>
  <si>
    <t>ionic, firebase, ajax</t>
    <phoneticPr fontId="1" type="noConversion"/>
  </si>
  <si>
    <r>
      <t>googleMaps</t>
    </r>
    <r>
      <rPr>
        <sz val="9"/>
        <rFont val="Arial Unicode MS"/>
        <family val="2"/>
        <charset val="129"/>
      </rPr>
      <t>의 마커를 위한 컨트롤러</t>
    </r>
    <phoneticPr fontId="1" type="noConversion"/>
  </si>
  <si>
    <t>통계 페이지 컴포넌트 구현</t>
    <phoneticPr fontId="1" type="noConversion"/>
  </si>
  <si>
    <t>모니터링 페이지 컴포넌트 구현</t>
    <phoneticPr fontId="1" type="noConversion"/>
  </si>
  <si>
    <t>메인페이지의 유저 정보, 관리 기기의 정보</t>
    <phoneticPr fontId="1" type="noConversion"/>
  </si>
  <si>
    <t>통계 페이지의 날짜 및 시간에 따른 기기정보</t>
    <phoneticPr fontId="1" type="noConversion"/>
  </si>
  <si>
    <t>모니터링 페이지의 유저 정보에 따른 관리구역, 기기정보</t>
    <phoneticPr fontId="1" type="noConversion"/>
  </si>
  <si>
    <t>laravel,jwt</t>
    <phoneticPr fontId="1" type="noConversion"/>
  </si>
  <si>
    <t>laravel migration</t>
    <phoneticPr fontId="1" type="noConversion"/>
  </si>
  <si>
    <t>laravel controller</t>
    <phoneticPr fontId="1" type="noConversion"/>
  </si>
  <si>
    <t>AWS EC2</t>
    <phoneticPr fontId="1" type="noConversion"/>
  </si>
  <si>
    <t>AWS RDS</t>
    <phoneticPr fontId="1" type="noConversion"/>
  </si>
  <si>
    <t>chrome</t>
    <phoneticPr fontId="1" type="noConversion"/>
  </si>
  <si>
    <t>사용기술</t>
    <phoneticPr fontId="1" type="noConversion"/>
  </si>
  <si>
    <t>vue.js, MDB</t>
    <phoneticPr fontId="1" type="noConversion"/>
  </si>
  <si>
    <t>ubuntu shell, putty</t>
    <phoneticPr fontId="1" type="noConversion"/>
  </si>
  <si>
    <r>
      <t>WIFI</t>
    </r>
    <r>
      <rPr>
        <sz val="9"/>
        <rFont val="Arial Unicode MS"/>
        <family val="2"/>
        <charset val="129"/>
      </rPr>
      <t>통신</t>
    </r>
    <phoneticPr fontId="1" type="noConversion"/>
  </si>
  <si>
    <r>
      <t>RF</t>
    </r>
    <r>
      <rPr>
        <sz val="9"/>
        <rFont val="Arial Unicode MS"/>
        <family val="2"/>
        <charset val="129"/>
      </rPr>
      <t>통신</t>
    </r>
    <phoneticPr fontId="1" type="noConversion"/>
  </si>
  <si>
    <t>JAVA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</si>
</sst>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7">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맑은 고딕"/>
      <family val="3"/>
      <charset val="129"/>
    </font>
    <font>
      <sz val="9"/>
      <name val="Calibri"/>
      <family val="3"/>
    </font>
    <font>
      <sz val="9"/>
      <name val="Arial Unicode MS"/>
      <family val="2"/>
      <charset val="129"/>
    </font>
    <font>
      <sz val="9"/>
      <name val="Calibri"/>
      <family val="3"/>
      <charset val="129"/>
    </font>
    <font>
      <sz val="9"/>
      <name val="맑은 고딕"/>
      <family val="2"/>
      <charset val="129"/>
    </font>
    <font>
      <sz val="9"/>
      <name val="돋움"/>
      <family val="2"/>
      <charset val="129"/>
    </font>
    <font>
      <sz val="9"/>
      <name val="Arial Unicode MS"/>
      <family val="3"/>
      <charset val="129"/>
    </font>
    <font>
      <sz val="8"/>
      <color theme="0"/>
      <name val="Arial Unicode MS"/>
      <family val="2"/>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5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16" fillId="2" borderId="0" xfId="2" applyFont="1" applyFill="1" applyAlignment="1">
      <alignment horizontal="left" vertical="center"/>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10" fontId="21" fillId="2" borderId="0" xfId="1" applyNumberFormat="1" applyFont="1" applyFill="1" applyAlignment="1">
      <alignment horizontal="right" vertical="center"/>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14" fontId="9" fillId="0" borderId="14" xfId="0" applyNumberFormat="1" applyFont="1" applyBorder="1" applyAlignment="1" applyProtection="1">
      <alignment horizontal="left" vertical="center"/>
      <protection locked="0"/>
    </xf>
    <xf numFmtId="0" fontId="9" fillId="0" borderId="26" xfId="0"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0" fontId="25" fillId="10" borderId="5" xfId="0" applyFont="1" applyFill="1" applyBorder="1" applyAlignment="1">
      <alignment horizontal="left" wrapText="1"/>
    </xf>
    <xf numFmtId="0" fontId="25" fillId="0" borderId="0" xfId="0" applyFont="1"/>
    <xf numFmtId="10" fontId="25" fillId="0" borderId="7" xfId="1" applyNumberFormat="1" applyFont="1" applyBorder="1" applyAlignment="1"/>
    <xf numFmtId="10" fontId="25" fillId="0" borderId="32" xfId="1" applyNumberFormat="1" applyFont="1" applyBorder="1" applyAlignment="1"/>
    <xf numFmtId="0" fontId="41" fillId="0" borderId="14" xfId="0" applyFont="1" applyBorder="1" applyAlignment="1" applyProtection="1">
      <alignment horizontal="left" vertical="top"/>
      <protection locked="0"/>
    </xf>
    <xf numFmtId="0" fontId="39" fillId="0" borderId="14" xfId="0" applyFont="1" applyBorder="1" applyAlignment="1" applyProtection="1">
      <alignment horizontal="left" vertical="top"/>
      <protection locked="0"/>
    </xf>
    <xf numFmtId="0" fontId="42" fillId="0" borderId="14" xfId="0" applyFont="1" applyBorder="1" applyAlignment="1" applyProtection="1">
      <alignment horizontal="left" vertical="top"/>
      <protection locked="0"/>
    </xf>
    <xf numFmtId="14" fontId="39" fillId="0" borderId="14" xfId="0" applyNumberFormat="1" applyFont="1" applyBorder="1" applyAlignment="1" applyProtection="1">
      <alignment horizontal="left" vertical="top"/>
      <protection locked="0"/>
    </xf>
    <xf numFmtId="0" fontId="43" fillId="0" borderId="14" xfId="0" applyFont="1" applyBorder="1" applyAlignment="1" applyProtection="1">
      <alignment horizontal="left" vertical="top"/>
      <protection locked="0"/>
    </xf>
    <xf numFmtId="176" fontId="39" fillId="0" borderId="14" xfId="0" applyNumberFormat="1" applyFont="1" applyBorder="1" applyAlignment="1" applyProtection="1">
      <alignment horizontal="left" vertical="top"/>
      <protection locked="0"/>
    </xf>
    <xf numFmtId="0" fontId="45" fillId="0" borderId="14" xfId="0" applyFont="1" applyBorder="1" applyAlignment="1" applyProtection="1">
      <alignment horizontal="left" vertical="top"/>
      <protection locked="0"/>
    </xf>
    <xf numFmtId="10" fontId="8" fillId="6" borderId="5" xfId="1" applyNumberFormat="1" applyFont="1" applyFill="1" applyBorder="1" applyAlignment="1">
      <alignment horizontal="center" vertical="center"/>
    </xf>
    <xf numFmtId="0" fontId="9" fillId="0" borderId="3" xfId="0" applyFont="1" applyBorder="1" applyAlignment="1" applyProtection="1">
      <alignment horizontal="center" vertical="center"/>
      <protection locked="0"/>
    </xf>
    <xf numFmtId="14" fontId="41" fillId="0" borderId="14" xfId="0" applyNumberFormat="1" applyFont="1" applyBorder="1" applyAlignment="1" applyProtection="1">
      <alignment horizontal="left" vertical="top"/>
      <protection locked="0"/>
    </xf>
    <xf numFmtId="10" fontId="9" fillId="0" borderId="0" xfId="1" applyNumberFormat="1" applyFont="1" applyAlignment="1" applyProtection="1">
      <alignment horizontal="right" vertical="top"/>
      <protection locked="0"/>
    </xf>
    <xf numFmtId="10" fontId="9" fillId="0" borderId="0" xfId="1" applyNumberFormat="1" applyFont="1" applyAlignment="1" applyProtection="1">
      <alignment horizontal="right" vertical="top" wrapText="1"/>
      <protection locked="0"/>
    </xf>
    <xf numFmtId="14" fontId="43" fillId="0" borderId="14" xfId="0" applyNumberFormat="1" applyFont="1" applyBorder="1" applyAlignment="1" applyProtection="1">
      <alignment horizontal="left" vertical="top"/>
      <protection locked="0"/>
    </xf>
    <xf numFmtId="10" fontId="46" fillId="6" borderId="5" xfId="1" applyNumberFormat="1" applyFont="1" applyFill="1" applyBorder="1" applyAlignment="1">
      <alignment horizontal="center" vertical="center" wrapText="1"/>
    </xf>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0" fontId="36" fillId="2" borderId="0" xfId="4" applyFont="1" applyFill="1" applyAlignment="1">
      <alignment horizontal="left"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28">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27"/>
      <tableStyleElement type="headerRow" dxfId="2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AnalysisReport!$C$7:$C$29</c:f>
              <c:numCache>
                <c:formatCode>m/d/yyyy</c:formatCode>
                <c:ptCount val="23"/>
                <c:pt idx="0">
                  <c:v>42826</c:v>
                </c:pt>
                <c:pt idx="1">
                  <c:v>42833</c:v>
                </c:pt>
                <c:pt idx="2">
                  <c:v>42840</c:v>
                </c:pt>
                <c:pt idx="3">
                  <c:v>42847</c:v>
                </c:pt>
                <c:pt idx="4">
                  <c:v>42854</c:v>
                </c:pt>
                <c:pt idx="5">
                  <c:v>42861</c:v>
                </c:pt>
                <c:pt idx="6">
                  <c:v>42868</c:v>
                </c:pt>
                <c:pt idx="7">
                  <c:v>42875</c:v>
                </c:pt>
                <c:pt idx="8">
                  <c:v>42882</c:v>
                </c:pt>
                <c:pt idx="9">
                  <c:v>42889</c:v>
                </c:pt>
                <c:pt idx="10">
                  <c:v>42896</c:v>
                </c:pt>
                <c:pt idx="11">
                  <c:v>42903</c:v>
                </c:pt>
                <c:pt idx="12">
                  <c:v>42910</c:v>
                </c:pt>
                <c:pt idx="13">
                  <c:v>42917</c:v>
                </c:pt>
                <c:pt idx="14">
                  <c:v>42924</c:v>
                </c:pt>
                <c:pt idx="15">
                  <c:v>42931</c:v>
                </c:pt>
                <c:pt idx="16">
                  <c:v>42938</c:v>
                </c:pt>
                <c:pt idx="17">
                  <c:v>42945</c:v>
                </c:pt>
                <c:pt idx="18">
                  <c:v>42952</c:v>
                </c:pt>
                <c:pt idx="19">
                  <c:v>42959</c:v>
                </c:pt>
                <c:pt idx="20">
                  <c:v>42966</c:v>
                </c:pt>
                <c:pt idx="21">
                  <c:v>42973</c:v>
                </c:pt>
                <c:pt idx="22">
                  <c:v>42980</c:v>
                </c:pt>
              </c:numCache>
            </c:numRef>
          </c:cat>
          <c:val>
            <c:numRef>
              <c:f>AnalysisReport!$F$7:$F$29</c:f>
              <c:numCache>
                <c:formatCode>0.00%</c:formatCode>
                <c:ptCount val="23"/>
                <c:pt idx="0">
                  <c:v>3.3670033670033669E-3</c:v>
                </c:pt>
                <c:pt idx="1">
                  <c:v>3.0303030303030304E-2</c:v>
                </c:pt>
                <c:pt idx="2">
                  <c:v>8.4175084175084181E-2</c:v>
                </c:pt>
                <c:pt idx="3">
                  <c:v>0.13468013468013468</c:v>
                </c:pt>
                <c:pt idx="4">
                  <c:v>0.16498316498316498</c:v>
                </c:pt>
                <c:pt idx="5">
                  <c:v>0.18518518518518517</c:v>
                </c:pt>
                <c:pt idx="6">
                  <c:v>0.23905723905723905</c:v>
                </c:pt>
                <c:pt idx="7">
                  <c:v>0.27272727272727271</c:v>
                </c:pt>
                <c:pt idx="8">
                  <c:v>0.28956228956228958</c:v>
                </c:pt>
                <c:pt idx="9">
                  <c:v>0.37373737373737376</c:v>
                </c:pt>
                <c:pt idx="10">
                  <c:v>0.42760942760942761</c:v>
                </c:pt>
                <c:pt idx="11">
                  <c:v>0.49494949494949497</c:v>
                </c:pt>
                <c:pt idx="12">
                  <c:v>0.54545454545454541</c:v>
                </c:pt>
                <c:pt idx="13">
                  <c:v>0.59595959595959591</c:v>
                </c:pt>
                <c:pt idx="14">
                  <c:v>0.66329966329966328</c:v>
                </c:pt>
                <c:pt idx="15">
                  <c:v>0.74747474747474751</c:v>
                </c:pt>
                <c:pt idx="16">
                  <c:v>0.83164983164983164</c:v>
                </c:pt>
                <c:pt idx="17">
                  <c:v>0.90235690235690236</c:v>
                </c:pt>
                <c:pt idx="18">
                  <c:v>0.9427609427609428</c:v>
                </c:pt>
                <c:pt idx="19">
                  <c:v>0.95622895622895621</c:v>
                </c:pt>
                <c:pt idx="20">
                  <c:v>0.96969696969696972</c:v>
                </c:pt>
                <c:pt idx="21">
                  <c:v>0.98653198653198648</c:v>
                </c:pt>
                <c:pt idx="22">
                  <c:v>1</c:v>
                </c:pt>
              </c:numCache>
            </c:numRef>
          </c:val>
          <c:smooth val="0"/>
          <c:extLst>
            <c:ext xmlns:c16="http://schemas.microsoft.com/office/drawing/2014/chart" uri="{C3380CC4-5D6E-409C-BE32-E72D297353CC}">
              <c16:uniqueId val="{00000000-51D4-475F-82C5-9AC4FB6FDEB3}"/>
            </c:ext>
          </c:extLst>
        </c:ser>
        <c:dLbls>
          <c:showLegendKey val="0"/>
          <c:showVal val="0"/>
          <c:showCatName val="0"/>
          <c:showSerName val="0"/>
          <c:showPercent val="0"/>
          <c:showBubbleSize val="0"/>
        </c:dLbls>
        <c:marker val="1"/>
        <c:smooth val="0"/>
        <c:axId val="-1081769824"/>
        <c:axId val="-1081772544"/>
      </c:lineChart>
      <c:dateAx>
        <c:axId val="-108176982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081772544"/>
        <c:crosses val="autoZero"/>
        <c:auto val="1"/>
        <c:lblOffset val="100"/>
        <c:baseTimeUnit val="days"/>
      </c:dateAx>
      <c:valAx>
        <c:axId val="-1081772544"/>
        <c:scaling>
          <c:orientation val="minMax"/>
        </c:scaling>
        <c:delete val="0"/>
        <c:axPos val="l"/>
        <c:majorGridlines/>
        <c:numFmt formatCode="0.00%" sourceLinked="1"/>
        <c:majorTickMark val="out"/>
        <c:minorTickMark val="none"/>
        <c:tickLblPos val="nextTo"/>
        <c:crossAx val="-1081769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79</xdr:col>
      <xdr:colOff>0</xdr:colOff>
      <xdr:row>21</xdr:row>
      <xdr:rowOff>76200</xdr:rowOff>
    </xdr:from>
    <xdr:to>
      <xdr:col>82</xdr:col>
      <xdr:colOff>34290</xdr:colOff>
      <xdr:row>21</xdr:row>
      <xdr:rowOff>76200</xdr:rowOff>
    </xdr:to>
    <xdr:cxnSp macro="">
      <xdr:nvCxnSpPr>
        <xdr:cNvPr id="14" name="직선 화살표 연결선 13">
          <a:extLst>
            <a:ext uri="{FF2B5EF4-FFF2-40B4-BE49-F238E27FC236}">
              <a16:creationId xmlns:a16="http://schemas.microsoft.com/office/drawing/2014/main" id="{00000000-0008-0000-0000-00000E000000}"/>
            </a:ext>
          </a:extLst>
        </xdr:cNvPr>
        <xdr:cNvCxnSpPr/>
      </xdr:nvCxnSpPr>
      <xdr:spPr bwMode="auto">
        <a:xfrm>
          <a:off x="12049125" y="4019550"/>
          <a:ext cx="2057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79</xdr:col>
      <xdr:colOff>0</xdr:colOff>
      <xdr:row>20</xdr:row>
      <xdr:rowOff>76200</xdr:rowOff>
    </xdr:from>
    <xdr:to>
      <xdr:col>80</xdr:col>
      <xdr:colOff>45720</xdr:colOff>
      <xdr:row>20</xdr:row>
      <xdr:rowOff>76200</xdr:rowOff>
    </xdr:to>
    <xdr:cxnSp macro="">
      <xdr:nvCxnSpPr>
        <xdr:cNvPr id="15" name="직선 화살표 연결선 14">
          <a:extLst>
            <a:ext uri="{FF2B5EF4-FFF2-40B4-BE49-F238E27FC236}">
              <a16:creationId xmlns:a16="http://schemas.microsoft.com/office/drawing/2014/main" id="{00000000-0008-0000-0000-00000F000000}"/>
            </a:ext>
          </a:extLst>
        </xdr:cNvPr>
        <xdr:cNvCxnSpPr/>
      </xdr:nvCxnSpPr>
      <xdr:spPr bwMode="auto">
        <a:xfrm>
          <a:off x="12049125" y="3867150"/>
          <a:ext cx="10287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19</xdr:row>
      <xdr:rowOff>76200</xdr:rowOff>
    </xdr:from>
    <xdr:to>
      <xdr:col>81</xdr:col>
      <xdr:colOff>31432</xdr:colOff>
      <xdr:row>19</xdr:row>
      <xdr:rowOff>76200</xdr:rowOff>
    </xdr:to>
    <xdr:cxnSp macro="">
      <xdr:nvCxnSpPr>
        <xdr:cNvPr id="16" name="직선 화살표 연결선 15">
          <a:extLst>
            <a:ext uri="{FF2B5EF4-FFF2-40B4-BE49-F238E27FC236}">
              <a16:creationId xmlns:a16="http://schemas.microsoft.com/office/drawing/2014/main" id="{00000000-0008-0000-0000-000010000000}"/>
            </a:ext>
          </a:extLst>
        </xdr:cNvPr>
        <xdr:cNvCxnSpPr/>
      </xdr:nvCxnSpPr>
      <xdr:spPr bwMode="auto">
        <a:xfrm>
          <a:off x="11706225" y="3714750"/>
          <a:ext cx="48863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18</xdr:row>
      <xdr:rowOff>76200</xdr:rowOff>
    </xdr:from>
    <xdr:to>
      <xdr:col>78</xdr:col>
      <xdr:colOff>11262</xdr:colOff>
      <xdr:row>18</xdr:row>
      <xdr:rowOff>76200</xdr:rowOff>
    </xdr:to>
    <xdr:cxnSp macro="">
      <xdr:nvCxnSpPr>
        <xdr:cNvPr id="17" name="직선 화살표 연결선 16">
          <a:extLst>
            <a:ext uri="{FF2B5EF4-FFF2-40B4-BE49-F238E27FC236}">
              <a16:creationId xmlns:a16="http://schemas.microsoft.com/office/drawing/2014/main" id="{00000000-0008-0000-0000-000011000000}"/>
            </a:ext>
          </a:extLst>
        </xdr:cNvPr>
        <xdr:cNvCxnSpPr/>
      </xdr:nvCxnSpPr>
      <xdr:spPr bwMode="auto">
        <a:xfrm>
          <a:off x="11706225" y="3562350"/>
          <a:ext cx="29701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17</xdr:row>
      <xdr:rowOff>76200</xdr:rowOff>
    </xdr:from>
    <xdr:to>
      <xdr:col>77</xdr:col>
      <xdr:colOff>38206</xdr:colOff>
      <xdr:row>17</xdr:row>
      <xdr:rowOff>76200</xdr:rowOff>
    </xdr:to>
    <xdr:cxnSp macro="">
      <xdr:nvCxnSpPr>
        <xdr:cNvPr id="18" name="직선 화살표 연결선 17">
          <a:extLst>
            <a:ext uri="{FF2B5EF4-FFF2-40B4-BE49-F238E27FC236}">
              <a16:creationId xmlns:a16="http://schemas.microsoft.com/office/drawing/2014/main" id="{00000000-0008-0000-0000-000012000000}"/>
            </a:ext>
          </a:extLst>
        </xdr:cNvPr>
        <xdr:cNvCxnSpPr/>
      </xdr:nvCxnSpPr>
      <xdr:spPr bwMode="auto">
        <a:xfrm>
          <a:off x="11706225" y="3409950"/>
          <a:ext cx="26680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91</xdr:col>
      <xdr:colOff>0</xdr:colOff>
      <xdr:row>10</xdr:row>
      <xdr:rowOff>76200</xdr:rowOff>
    </xdr:from>
    <xdr:to>
      <xdr:col>171</xdr:col>
      <xdr:colOff>7454</xdr:colOff>
      <xdr:row>10</xdr:row>
      <xdr:rowOff>76200</xdr:rowOff>
    </xdr:to>
    <xdr:cxnSp macro="">
      <xdr:nvCxnSpPr>
        <xdr:cNvPr id="20" name="직선 화살표 연결선 19">
          <a:extLst>
            <a:ext uri="{FF2B5EF4-FFF2-40B4-BE49-F238E27FC236}">
              <a16:creationId xmlns:a16="http://schemas.microsoft.com/office/drawing/2014/main" id="{00000000-0008-0000-0000-000014000000}"/>
            </a:ext>
          </a:extLst>
        </xdr:cNvPr>
        <xdr:cNvCxnSpPr/>
      </xdr:nvCxnSpPr>
      <xdr:spPr bwMode="auto">
        <a:xfrm>
          <a:off x="12734925" y="1733550"/>
          <a:ext cx="457945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8</xdr:row>
      <xdr:rowOff>76200</xdr:rowOff>
    </xdr:from>
    <xdr:to>
      <xdr:col>80</xdr:col>
      <xdr:colOff>0</xdr:colOff>
      <xdr:row>8</xdr:row>
      <xdr:rowOff>76200</xdr:rowOff>
    </xdr:to>
    <xdr:cxnSp macro="">
      <xdr:nvCxnSpPr>
        <xdr:cNvPr id="21" name="직선 화살표 연결선 20">
          <a:extLst>
            <a:ext uri="{FF2B5EF4-FFF2-40B4-BE49-F238E27FC236}">
              <a16:creationId xmlns:a16="http://schemas.microsoft.com/office/drawing/2014/main" id="{00000000-0008-0000-0000-000015000000}"/>
            </a:ext>
          </a:extLst>
        </xdr:cNvPr>
        <xdr:cNvCxnSpPr/>
      </xdr:nvCxnSpPr>
      <xdr:spPr bwMode="auto">
        <a:xfrm>
          <a:off x="11706225" y="1428750"/>
          <a:ext cx="4000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73</xdr:col>
      <xdr:colOff>0</xdr:colOff>
      <xdr:row>7</xdr:row>
      <xdr:rowOff>76200</xdr:rowOff>
    </xdr:from>
    <xdr:to>
      <xdr:col>92</xdr:col>
      <xdr:colOff>0</xdr:colOff>
      <xdr:row>7</xdr:row>
      <xdr:rowOff>76200</xdr:rowOff>
    </xdr:to>
    <xdr:cxnSp macro="">
      <xdr:nvCxnSpPr>
        <xdr:cNvPr id="22" name="직선 화살표 연결선 21">
          <a:extLst>
            <a:ext uri="{FF2B5EF4-FFF2-40B4-BE49-F238E27FC236}">
              <a16:creationId xmlns:a16="http://schemas.microsoft.com/office/drawing/2014/main" id="{00000000-0008-0000-0000-000016000000}"/>
            </a:ext>
          </a:extLst>
        </xdr:cNvPr>
        <xdr:cNvCxnSpPr/>
      </xdr:nvCxnSpPr>
      <xdr:spPr bwMode="auto">
        <a:xfrm>
          <a:off x="11706225" y="1276350"/>
          <a:ext cx="10858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69</xdr:col>
      <xdr:colOff>0</xdr:colOff>
      <xdr:row>6</xdr:row>
      <xdr:rowOff>76200</xdr:rowOff>
    </xdr:from>
    <xdr:to>
      <xdr:col>71</xdr:col>
      <xdr:colOff>0</xdr:colOff>
      <xdr:row>6</xdr:row>
      <xdr:rowOff>76200</xdr:rowOff>
    </xdr:to>
    <xdr:cxnSp macro="">
      <xdr:nvCxnSpPr>
        <xdr:cNvPr id="23" name="직선 화살표 연결선 22">
          <a:extLst>
            <a:ext uri="{FF2B5EF4-FFF2-40B4-BE49-F238E27FC236}">
              <a16:creationId xmlns:a16="http://schemas.microsoft.com/office/drawing/2014/main" id="{00000000-0008-0000-0000-000017000000}"/>
            </a:ext>
          </a:extLst>
        </xdr:cNvPr>
        <xdr:cNvCxnSpPr/>
      </xdr:nvCxnSpPr>
      <xdr:spPr bwMode="auto">
        <a:xfrm>
          <a:off x="11477625" y="11239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69</xdr:col>
      <xdr:colOff>0</xdr:colOff>
      <xdr:row>5</xdr:row>
      <xdr:rowOff>76200</xdr:rowOff>
    </xdr:from>
    <xdr:to>
      <xdr:col>92</xdr:col>
      <xdr:colOff>0</xdr:colOff>
      <xdr:row>5</xdr:row>
      <xdr:rowOff>76200</xdr:rowOff>
    </xdr:to>
    <xdr:cxnSp macro="">
      <xdr:nvCxnSpPr>
        <xdr:cNvPr id="24" name="직선 화살표 연결선 23">
          <a:extLst>
            <a:ext uri="{FF2B5EF4-FFF2-40B4-BE49-F238E27FC236}">
              <a16:creationId xmlns:a16="http://schemas.microsoft.com/office/drawing/2014/main" id="{00000000-0008-0000-0000-000018000000}"/>
            </a:ext>
          </a:extLst>
        </xdr:cNvPr>
        <xdr:cNvCxnSpPr/>
      </xdr:nvCxnSpPr>
      <xdr:spPr bwMode="auto">
        <a:xfrm>
          <a:off x="11477625" y="971550"/>
          <a:ext cx="13144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69</xdr:col>
      <xdr:colOff>0</xdr:colOff>
      <xdr:row>4</xdr:row>
      <xdr:rowOff>76200</xdr:rowOff>
    </xdr:from>
    <xdr:to>
      <xdr:col>151</xdr:col>
      <xdr:colOff>34787</xdr:colOff>
      <xdr:row>4</xdr:row>
      <xdr:rowOff>76200</xdr:rowOff>
    </xdr:to>
    <xdr:cxnSp macro="">
      <xdr:nvCxnSpPr>
        <xdr:cNvPr id="25" name="직선 화살표 연결선 24">
          <a:extLst>
            <a:ext uri="{FF2B5EF4-FFF2-40B4-BE49-F238E27FC236}">
              <a16:creationId xmlns:a16="http://schemas.microsoft.com/office/drawing/2014/main" id="{00000000-0008-0000-0000-000019000000}"/>
            </a:ext>
          </a:extLst>
        </xdr:cNvPr>
        <xdr:cNvCxnSpPr/>
      </xdr:nvCxnSpPr>
      <xdr:spPr bwMode="auto">
        <a:xfrm>
          <a:off x="11477625" y="819150"/>
          <a:ext cx="472108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4" name="차트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HR212"/>
  <sheetViews>
    <sheetView tabSelected="1" topLeftCell="E1" zoomScale="115" zoomScaleNormal="115" zoomScalePageLayoutView="55" workbookViewId="0">
      <pane ySplit="4" topLeftCell="A56" activePane="bottomLeft" state="frozen"/>
      <selection activeCell="D1" sqref="D1"/>
      <selection pane="bottomLeft" activeCell="Y67" sqref="Y67"/>
    </sheetView>
  </sheetViews>
  <sheetFormatPr defaultColWidth="8.8984375" defaultRowHeight="12"/>
  <cols>
    <col min="1" max="1" width="17.69921875" style="49" hidden="1" customWidth="1"/>
    <col min="2" max="2" width="7.3984375" style="49" hidden="1" customWidth="1"/>
    <col min="3" max="3" width="8.296875" style="49" hidden="1" customWidth="1"/>
    <col min="4" max="4" width="9" style="147" customWidth="1"/>
    <col min="5" max="7" width="2.3984375" style="50" customWidth="1"/>
    <col min="8" max="8" width="2.09765625" style="50" customWidth="1"/>
    <col min="9" max="9" width="4.59765625" style="50" customWidth="1"/>
    <col min="10" max="11" width="5.69921875" style="50" customWidth="1"/>
    <col min="12" max="12" width="8.09765625" style="50" customWidth="1"/>
    <col min="13" max="13" width="8.3984375" style="51" customWidth="1"/>
    <col min="14" max="14" width="8.296875" style="51" customWidth="1"/>
    <col min="15" max="15" width="6.09765625" style="50" hidden="1" customWidth="1"/>
    <col min="16" max="16" width="8.796875" style="52" customWidth="1"/>
    <col min="17" max="17" width="4.59765625" style="52" customWidth="1"/>
    <col min="18" max="18" width="5.59765625" style="53" hidden="1" customWidth="1"/>
    <col min="19" max="19" width="4.19921875" style="53" hidden="1" customWidth="1"/>
    <col min="20" max="20" width="11.69921875" style="51" hidden="1" customWidth="1"/>
    <col min="21" max="21" width="12.09765625" style="51" hidden="1" customWidth="1"/>
    <col min="22" max="22" width="7.3984375" style="54" hidden="1" customWidth="1"/>
    <col min="23" max="23" width="5.8984375" style="55" hidden="1" customWidth="1"/>
    <col min="24" max="24" width="5.09765625" style="56" customWidth="1"/>
    <col min="25" max="25" width="9.59765625" style="50" customWidth="1"/>
    <col min="26" max="26" width="15.296875" style="57" bestFit="1" customWidth="1"/>
    <col min="27" max="27" width="6.19921875" style="58" customWidth="1"/>
    <col min="28" max="28" width="6.296875" style="148" customWidth="1"/>
    <col min="29" max="29" width="6.296875" style="220" customWidth="1"/>
    <col min="30" max="225" width="0.69921875" style="48" customWidth="1"/>
    <col min="226" max="16384" width="8.8984375" style="48"/>
  </cols>
  <sheetData>
    <row r="1" spans="1:226" s="125" customFormat="1" ht="20.100000000000001" customHeight="1">
      <c r="A1" s="30"/>
      <c r="B1" s="30"/>
      <c r="C1" s="31"/>
      <c r="D1" s="32" t="e">
        <f ca="1">xlgantt.ProjectName()</f>
        <v>#NAME?</v>
      </c>
      <c r="E1" s="33"/>
      <c r="F1" s="33"/>
      <c r="G1" s="33"/>
      <c r="H1" s="33"/>
      <c r="I1" s="33"/>
      <c r="J1" s="33"/>
      <c r="K1" s="33"/>
      <c r="L1" s="33"/>
      <c r="M1" s="33"/>
      <c r="N1" s="34"/>
      <c r="O1" s="35"/>
      <c r="P1" s="36"/>
      <c r="Q1" s="37"/>
      <c r="R1" s="38"/>
      <c r="S1" s="38"/>
      <c r="T1" s="39"/>
      <c r="U1" s="39"/>
      <c r="W1" s="40"/>
      <c r="X1" s="41"/>
      <c r="Y1" s="42"/>
      <c r="Z1" s="42"/>
      <c r="AA1" s="43"/>
      <c r="AB1" s="44" t="e">
        <f ca="1">xlgantt.ProjectProgressString()</f>
        <v>#NAME?</v>
      </c>
      <c r="AC1" s="44"/>
      <c r="AD1" s="226" t="s">
        <v>1156</v>
      </c>
      <c r="AE1" s="226"/>
      <c r="AF1" s="226"/>
      <c r="AG1" s="226"/>
      <c r="AH1" s="226"/>
      <c r="AI1" s="226"/>
      <c r="AJ1" s="226"/>
      <c r="AK1" s="226"/>
      <c r="AL1" s="226"/>
      <c r="AM1" s="226"/>
      <c r="AN1" s="226"/>
      <c r="AO1" s="226"/>
      <c r="AP1" s="226"/>
      <c r="AQ1" s="226"/>
      <c r="AR1" s="226"/>
      <c r="AS1" s="226"/>
      <c r="AT1" s="226"/>
      <c r="AU1" s="226"/>
      <c r="AV1" s="226"/>
      <c r="AW1" s="226"/>
      <c r="AX1" s="226"/>
      <c r="AY1" s="226"/>
      <c r="AZ1" s="226"/>
      <c r="BA1" s="226"/>
      <c r="BB1" s="226"/>
      <c r="BC1" s="226"/>
      <c r="BD1" s="226"/>
      <c r="BE1" s="226"/>
      <c r="BF1" s="226"/>
      <c r="BG1" s="226"/>
      <c r="BH1" s="226"/>
      <c r="BI1" s="226"/>
      <c r="BJ1" s="226"/>
      <c r="BK1" s="226"/>
      <c r="BL1" s="226"/>
      <c r="BM1" s="226"/>
      <c r="BN1" s="226"/>
      <c r="BO1" s="226"/>
      <c r="BP1" s="226"/>
      <c r="BQ1" s="226"/>
      <c r="BR1" s="226"/>
      <c r="BS1" s="226"/>
      <c r="BT1" s="226"/>
      <c r="BU1" s="226"/>
      <c r="BV1" s="226"/>
      <c r="BW1" s="226"/>
      <c r="BX1" s="226"/>
      <c r="BY1" s="226"/>
      <c r="BZ1" s="226"/>
      <c r="CA1" s="226"/>
      <c r="CB1" s="226"/>
    </row>
    <row r="2" spans="1:226" s="125" customFormat="1" ht="15" customHeight="1">
      <c r="A2" s="30"/>
      <c r="B2" s="30"/>
      <c r="C2" s="31"/>
      <c r="D2" s="237"/>
      <c r="E2" s="237"/>
      <c r="F2" s="237"/>
      <c r="G2" s="47"/>
      <c r="H2" s="149"/>
      <c r="I2" s="47"/>
      <c r="J2" s="47"/>
      <c r="K2" s="47"/>
      <c r="L2" s="47"/>
      <c r="M2" s="47"/>
      <c r="N2" s="47"/>
      <c r="O2" s="47"/>
      <c r="P2" s="47"/>
      <c r="Q2" s="47"/>
      <c r="R2" s="47"/>
      <c r="S2" s="47"/>
      <c r="T2" s="47"/>
      <c r="U2" s="47"/>
      <c r="V2" s="47"/>
      <c r="W2" s="47"/>
      <c r="X2" s="47"/>
      <c r="Y2" s="47"/>
      <c r="Z2" s="45"/>
      <c r="AA2" s="46"/>
      <c r="AB2" s="47" t="e">
        <f ca="1">xlgantt.CommentOnHeadArea()</f>
        <v>#NAME?</v>
      </c>
      <c r="AC2" s="47"/>
    </row>
    <row r="3" spans="1:226" s="195" customFormat="1" ht="20.100000000000001" customHeight="1">
      <c r="A3" s="227" t="s">
        <v>1157</v>
      </c>
      <c r="B3" s="228" t="s">
        <v>1158</v>
      </c>
      <c r="C3" s="229" t="s">
        <v>1129</v>
      </c>
      <c r="D3" s="230" t="s">
        <v>1146</v>
      </c>
      <c r="E3" s="231" t="s">
        <v>1151</v>
      </c>
      <c r="F3" s="232"/>
      <c r="G3" s="232"/>
      <c r="H3" s="232"/>
      <c r="I3" s="232"/>
      <c r="J3" s="232"/>
      <c r="K3" s="232"/>
      <c r="L3" s="241" t="s">
        <v>1147</v>
      </c>
      <c r="M3" s="241" t="s">
        <v>1153</v>
      </c>
      <c r="N3" s="241" t="s">
        <v>1152</v>
      </c>
      <c r="O3" s="228" t="s">
        <v>1068</v>
      </c>
      <c r="P3" s="239" t="s">
        <v>1148</v>
      </c>
      <c r="Q3" s="239" t="s">
        <v>1150</v>
      </c>
      <c r="R3" s="239" t="s">
        <v>1118</v>
      </c>
      <c r="S3" s="239" t="s">
        <v>1130</v>
      </c>
      <c r="T3" s="240" t="s">
        <v>1159</v>
      </c>
      <c r="U3" s="240" t="s">
        <v>1105</v>
      </c>
      <c r="V3" s="242" t="s">
        <v>1160</v>
      </c>
      <c r="W3" s="238" t="s">
        <v>1145</v>
      </c>
      <c r="X3" s="243" t="s">
        <v>1131</v>
      </c>
      <c r="Y3" s="228" t="s">
        <v>1154</v>
      </c>
      <c r="Z3" s="228" t="s">
        <v>1161</v>
      </c>
      <c r="AA3" s="233" t="s">
        <v>900</v>
      </c>
      <c r="AB3" s="235" t="s">
        <v>1106</v>
      </c>
      <c r="AC3" s="223" t="s">
        <v>1250</v>
      </c>
      <c r="AD3" s="244">
        <v>43515</v>
      </c>
      <c r="AE3" s="224"/>
      <c r="AF3" s="224"/>
      <c r="AG3" s="224"/>
      <c r="AH3" s="224"/>
      <c r="AI3" s="224"/>
      <c r="AJ3" s="224"/>
      <c r="AK3" s="224">
        <v>43522</v>
      </c>
      <c r="AL3" s="224"/>
      <c r="AM3" s="224"/>
      <c r="AN3" s="224"/>
      <c r="AO3" s="224"/>
      <c r="AP3" s="224"/>
      <c r="AQ3" s="224"/>
      <c r="AR3" s="224">
        <v>43529</v>
      </c>
      <c r="AS3" s="224"/>
      <c r="AT3" s="224"/>
      <c r="AU3" s="224"/>
      <c r="AV3" s="224"/>
      <c r="AW3" s="224"/>
      <c r="AX3" s="224"/>
      <c r="AY3" s="224">
        <v>43536</v>
      </c>
      <c r="AZ3" s="224"/>
      <c r="BA3" s="224"/>
      <c r="BB3" s="224"/>
      <c r="BC3" s="224"/>
      <c r="BD3" s="224"/>
      <c r="BE3" s="224"/>
      <c r="BF3" s="224">
        <v>43543</v>
      </c>
      <c r="BG3" s="224"/>
      <c r="BH3" s="224"/>
      <c r="BI3" s="224"/>
      <c r="BJ3" s="224"/>
      <c r="BK3" s="224"/>
      <c r="BL3" s="224"/>
      <c r="BM3" s="224">
        <v>43550</v>
      </c>
      <c r="BN3" s="224"/>
      <c r="BO3" s="224"/>
      <c r="BP3" s="224"/>
      <c r="BQ3" s="224"/>
      <c r="BR3" s="224"/>
      <c r="BS3" s="224"/>
      <c r="BT3" s="224">
        <v>43557</v>
      </c>
      <c r="BU3" s="224"/>
      <c r="BV3" s="224"/>
      <c r="BW3" s="224"/>
      <c r="BX3" s="224"/>
      <c r="BY3" s="224"/>
      <c r="BZ3" s="224"/>
      <c r="CA3" s="224">
        <v>43564</v>
      </c>
      <c r="CB3" s="224"/>
      <c r="CC3" s="224"/>
      <c r="CD3" s="224"/>
      <c r="CE3" s="224"/>
      <c r="CF3" s="224"/>
      <c r="CG3" s="224"/>
      <c r="CH3" s="224">
        <v>43571</v>
      </c>
      <c r="CI3" s="224"/>
      <c r="CJ3" s="224"/>
      <c r="CK3" s="224"/>
      <c r="CL3" s="224"/>
      <c r="CM3" s="224"/>
      <c r="CN3" s="224"/>
      <c r="CO3" s="224">
        <v>43578</v>
      </c>
      <c r="CP3" s="224"/>
      <c r="CQ3" s="224"/>
      <c r="CR3" s="224"/>
      <c r="CS3" s="224"/>
      <c r="CT3" s="224"/>
      <c r="CU3" s="224"/>
      <c r="CV3" s="224">
        <v>43585</v>
      </c>
      <c r="CW3" s="224"/>
      <c r="CX3" s="224"/>
      <c r="CY3" s="224"/>
      <c r="CZ3" s="224"/>
      <c r="DA3" s="224"/>
      <c r="DB3" s="224"/>
      <c r="DC3" s="224">
        <v>43592</v>
      </c>
      <c r="DD3" s="224"/>
      <c r="DE3" s="224"/>
      <c r="DF3" s="224"/>
      <c r="DG3" s="224"/>
      <c r="DH3" s="224"/>
      <c r="DI3" s="224"/>
      <c r="DJ3" s="224">
        <v>43599</v>
      </c>
      <c r="DK3" s="224"/>
      <c r="DL3" s="224"/>
      <c r="DM3" s="224"/>
      <c r="DN3" s="224"/>
      <c r="DO3" s="224"/>
      <c r="DP3" s="224"/>
      <c r="DQ3" s="224">
        <v>43606</v>
      </c>
      <c r="DR3" s="224"/>
      <c r="DS3" s="224"/>
      <c r="DT3" s="224"/>
      <c r="DU3" s="224"/>
      <c r="DV3" s="224"/>
      <c r="DW3" s="224"/>
      <c r="DX3" s="224">
        <v>43613</v>
      </c>
      <c r="DY3" s="224"/>
      <c r="DZ3" s="224"/>
      <c r="EA3" s="224"/>
      <c r="EB3" s="224"/>
      <c r="EC3" s="224"/>
      <c r="ED3" s="224"/>
      <c r="EE3" s="224">
        <v>43620</v>
      </c>
      <c r="EF3" s="224"/>
      <c r="EG3" s="224"/>
      <c r="EH3" s="224"/>
      <c r="EI3" s="224"/>
      <c r="EJ3" s="224"/>
      <c r="EK3" s="224"/>
      <c r="EL3" s="224">
        <v>43627</v>
      </c>
      <c r="EM3" s="224"/>
      <c r="EN3" s="224"/>
      <c r="EO3" s="224"/>
      <c r="EP3" s="224"/>
      <c r="EQ3" s="224"/>
      <c r="ER3" s="224"/>
      <c r="ES3" s="224">
        <v>43634</v>
      </c>
      <c r="ET3" s="224"/>
      <c r="EU3" s="224"/>
      <c r="EV3" s="224"/>
      <c r="EW3" s="224"/>
      <c r="EX3" s="224"/>
      <c r="EY3" s="224"/>
      <c r="EZ3" s="224">
        <v>43641</v>
      </c>
      <c r="FA3" s="224"/>
      <c r="FB3" s="224"/>
      <c r="FC3" s="224"/>
      <c r="FD3" s="224"/>
      <c r="FE3" s="224"/>
      <c r="FF3" s="224"/>
      <c r="FG3" s="224">
        <v>43648</v>
      </c>
      <c r="FH3" s="224"/>
      <c r="FI3" s="224"/>
      <c r="FJ3" s="224"/>
      <c r="FK3" s="224"/>
      <c r="FL3" s="224"/>
      <c r="FM3" s="224"/>
      <c r="FN3" s="224">
        <v>43655</v>
      </c>
      <c r="FO3" s="224"/>
      <c r="FP3" s="224"/>
      <c r="FQ3" s="224"/>
      <c r="FR3" s="224"/>
      <c r="FS3" s="224"/>
      <c r="FT3" s="224"/>
      <c r="FU3" s="224">
        <v>43662</v>
      </c>
      <c r="FV3" s="224"/>
      <c r="FW3" s="224"/>
      <c r="FX3" s="224"/>
      <c r="FY3" s="224"/>
      <c r="FZ3" s="224"/>
      <c r="GA3" s="224"/>
      <c r="GB3" s="224">
        <v>43669</v>
      </c>
      <c r="GC3" s="224"/>
      <c r="GD3" s="224"/>
      <c r="GE3" s="224"/>
      <c r="GF3" s="224"/>
      <c r="GG3" s="224"/>
      <c r="GH3" s="224"/>
      <c r="GI3" s="224">
        <v>43676</v>
      </c>
      <c r="GJ3" s="224"/>
      <c r="GK3" s="224"/>
      <c r="GL3" s="224"/>
      <c r="GM3" s="224"/>
      <c r="GN3" s="224"/>
      <c r="GO3" s="224"/>
      <c r="GP3" s="224">
        <v>43683</v>
      </c>
      <c r="GQ3" s="224"/>
      <c r="GR3" s="224"/>
      <c r="GS3" s="224"/>
      <c r="GT3" s="224"/>
      <c r="GU3" s="224"/>
      <c r="GV3" s="224"/>
      <c r="GW3" s="224">
        <v>43690</v>
      </c>
      <c r="GX3" s="224"/>
      <c r="GY3" s="224"/>
      <c r="GZ3" s="224"/>
      <c r="HA3" s="224"/>
      <c r="HB3" s="224"/>
      <c r="HC3" s="224"/>
      <c r="HD3" s="224">
        <v>43697</v>
      </c>
      <c r="HE3" s="224"/>
      <c r="HF3" s="224"/>
      <c r="HG3" s="224"/>
      <c r="HH3" s="224"/>
      <c r="HI3" s="224"/>
      <c r="HJ3" s="224"/>
      <c r="HK3" s="224">
        <v>43704</v>
      </c>
      <c r="HL3" s="224"/>
      <c r="HM3" s="224"/>
      <c r="HN3" s="224"/>
      <c r="HO3" s="224"/>
      <c r="HP3" s="224"/>
      <c r="HQ3" s="225"/>
    </row>
    <row r="4" spans="1:226" s="155" customFormat="1" ht="5.0999999999999996" customHeight="1">
      <c r="A4" s="227"/>
      <c r="B4" s="228"/>
      <c r="C4" s="229"/>
      <c r="D4" s="230"/>
      <c r="E4" s="231"/>
      <c r="F4" s="232"/>
      <c r="G4" s="232"/>
      <c r="H4" s="232"/>
      <c r="I4" s="232"/>
      <c r="J4" s="232"/>
      <c r="K4" s="232"/>
      <c r="L4" s="241"/>
      <c r="M4" s="241"/>
      <c r="N4" s="241"/>
      <c r="O4" s="228"/>
      <c r="P4" s="239"/>
      <c r="Q4" s="239"/>
      <c r="R4" s="239"/>
      <c r="S4" s="239"/>
      <c r="T4" s="241"/>
      <c r="U4" s="241"/>
      <c r="V4" s="242"/>
      <c r="W4" s="238"/>
      <c r="X4" s="243"/>
      <c r="Y4" s="228"/>
      <c r="Z4" s="228"/>
      <c r="AA4" s="234"/>
      <c r="AB4" s="236"/>
      <c r="AC4" s="217"/>
      <c r="AD4" s="197">
        <v>43515</v>
      </c>
      <c r="AE4" s="198">
        <v>43516</v>
      </c>
      <c r="AF4" s="198">
        <v>43517</v>
      </c>
      <c r="AG4" s="198">
        <v>43518</v>
      </c>
      <c r="AH4" s="198">
        <v>43519</v>
      </c>
      <c r="AI4" s="198">
        <v>43520</v>
      </c>
      <c r="AJ4" s="198">
        <v>43521</v>
      </c>
      <c r="AK4" s="198">
        <v>43522</v>
      </c>
      <c r="AL4" s="198">
        <v>43523</v>
      </c>
      <c r="AM4" s="198">
        <v>43524</v>
      </c>
      <c r="AN4" s="198">
        <v>43525</v>
      </c>
      <c r="AO4" s="198">
        <v>43526</v>
      </c>
      <c r="AP4" s="198">
        <v>43527</v>
      </c>
      <c r="AQ4" s="198">
        <v>43528</v>
      </c>
      <c r="AR4" s="198">
        <v>43529</v>
      </c>
      <c r="AS4" s="198">
        <v>43530</v>
      </c>
      <c r="AT4" s="198">
        <v>43531</v>
      </c>
      <c r="AU4" s="198">
        <v>43532</v>
      </c>
      <c r="AV4" s="198">
        <v>43533</v>
      </c>
      <c r="AW4" s="198">
        <v>43534</v>
      </c>
      <c r="AX4" s="198">
        <v>43535</v>
      </c>
      <c r="AY4" s="198">
        <v>43536</v>
      </c>
      <c r="AZ4" s="198">
        <v>43537</v>
      </c>
      <c r="BA4" s="198">
        <v>43538</v>
      </c>
      <c r="BB4" s="198">
        <v>43539</v>
      </c>
      <c r="BC4" s="198">
        <v>43540</v>
      </c>
      <c r="BD4" s="198">
        <v>43541</v>
      </c>
      <c r="BE4" s="198">
        <v>43542</v>
      </c>
      <c r="BF4" s="198">
        <v>43543</v>
      </c>
      <c r="BG4" s="198">
        <v>43544</v>
      </c>
      <c r="BH4" s="198">
        <v>43545</v>
      </c>
      <c r="BI4" s="198">
        <v>43546</v>
      </c>
      <c r="BJ4" s="198">
        <v>43547</v>
      </c>
      <c r="BK4" s="198">
        <v>43548</v>
      </c>
      <c r="BL4" s="198">
        <v>43549</v>
      </c>
      <c r="BM4" s="198">
        <v>43550</v>
      </c>
      <c r="BN4" s="198">
        <v>43551</v>
      </c>
      <c r="BO4" s="198">
        <v>43552</v>
      </c>
      <c r="BP4" s="198">
        <v>43553</v>
      </c>
      <c r="BQ4" s="198">
        <v>43554</v>
      </c>
      <c r="BR4" s="198">
        <v>43555</v>
      </c>
      <c r="BS4" s="198">
        <v>43556</v>
      </c>
      <c r="BT4" s="198">
        <v>43557</v>
      </c>
      <c r="BU4" s="198">
        <v>43558</v>
      </c>
      <c r="BV4" s="198">
        <v>43559</v>
      </c>
      <c r="BW4" s="198">
        <v>43560</v>
      </c>
      <c r="BX4" s="198">
        <v>43561</v>
      </c>
      <c r="BY4" s="198">
        <v>43562</v>
      </c>
      <c r="BZ4" s="198">
        <v>43563</v>
      </c>
      <c r="CA4" s="198">
        <v>43564</v>
      </c>
      <c r="CB4" s="198">
        <v>43565</v>
      </c>
      <c r="CC4" s="198">
        <v>43566</v>
      </c>
      <c r="CD4" s="198">
        <v>43567</v>
      </c>
      <c r="CE4" s="198">
        <v>43568</v>
      </c>
      <c r="CF4" s="198">
        <v>43569</v>
      </c>
      <c r="CG4" s="198">
        <v>43570</v>
      </c>
      <c r="CH4" s="198">
        <v>43571</v>
      </c>
      <c r="CI4" s="198">
        <v>43572</v>
      </c>
      <c r="CJ4" s="198">
        <v>43573</v>
      </c>
      <c r="CK4" s="198">
        <v>43574</v>
      </c>
      <c r="CL4" s="198">
        <v>43575</v>
      </c>
      <c r="CM4" s="198">
        <v>43576</v>
      </c>
      <c r="CN4" s="198">
        <v>43577</v>
      </c>
      <c r="CO4" s="198">
        <v>43578</v>
      </c>
      <c r="CP4" s="198">
        <v>43579</v>
      </c>
      <c r="CQ4" s="198">
        <v>43580</v>
      </c>
      <c r="CR4" s="198">
        <v>43581</v>
      </c>
      <c r="CS4" s="198">
        <v>43582</v>
      </c>
      <c r="CT4" s="198">
        <v>43583</v>
      </c>
      <c r="CU4" s="198">
        <v>43584</v>
      </c>
      <c r="CV4" s="198">
        <v>43585</v>
      </c>
      <c r="CW4" s="198">
        <v>43586</v>
      </c>
      <c r="CX4" s="198">
        <v>43587</v>
      </c>
      <c r="CY4" s="198">
        <v>43588</v>
      </c>
      <c r="CZ4" s="198">
        <v>43589</v>
      </c>
      <c r="DA4" s="198">
        <v>43590</v>
      </c>
      <c r="DB4" s="198">
        <v>43591</v>
      </c>
      <c r="DC4" s="198">
        <v>43592</v>
      </c>
      <c r="DD4" s="198">
        <v>43593</v>
      </c>
      <c r="DE4" s="198">
        <v>43594</v>
      </c>
      <c r="DF4" s="198">
        <v>43595</v>
      </c>
      <c r="DG4" s="198">
        <v>43596</v>
      </c>
      <c r="DH4" s="198">
        <v>43597</v>
      </c>
      <c r="DI4" s="198">
        <v>43598</v>
      </c>
      <c r="DJ4" s="198">
        <v>43599</v>
      </c>
      <c r="DK4" s="198">
        <v>43600</v>
      </c>
      <c r="DL4" s="198">
        <v>43601</v>
      </c>
      <c r="DM4" s="198">
        <v>43602</v>
      </c>
      <c r="DN4" s="198">
        <v>43603</v>
      </c>
      <c r="DO4" s="198">
        <v>43604</v>
      </c>
      <c r="DP4" s="198">
        <v>43605</v>
      </c>
      <c r="DQ4" s="198">
        <v>43606</v>
      </c>
      <c r="DR4" s="198">
        <v>43607</v>
      </c>
      <c r="DS4" s="198">
        <v>43608</v>
      </c>
      <c r="DT4" s="198">
        <v>43609</v>
      </c>
      <c r="DU4" s="198">
        <v>43610</v>
      </c>
      <c r="DV4" s="198">
        <v>43611</v>
      </c>
      <c r="DW4" s="198">
        <v>43612</v>
      </c>
      <c r="DX4" s="198">
        <v>43613</v>
      </c>
      <c r="DY4" s="198">
        <v>43614</v>
      </c>
      <c r="DZ4" s="198">
        <v>43615</v>
      </c>
      <c r="EA4" s="198">
        <v>43616</v>
      </c>
      <c r="EB4" s="198">
        <v>43617</v>
      </c>
      <c r="EC4" s="198">
        <v>43618</v>
      </c>
      <c r="ED4" s="198">
        <v>43619</v>
      </c>
      <c r="EE4" s="198">
        <v>43620</v>
      </c>
      <c r="EF4" s="198">
        <v>43621</v>
      </c>
      <c r="EG4" s="198">
        <v>43622</v>
      </c>
      <c r="EH4" s="198">
        <v>43623</v>
      </c>
      <c r="EI4" s="198">
        <v>43624</v>
      </c>
      <c r="EJ4" s="198">
        <v>43625</v>
      </c>
      <c r="EK4" s="198">
        <v>43626</v>
      </c>
      <c r="EL4" s="198">
        <v>43627</v>
      </c>
      <c r="EM4" s="198">
        <v>43628</v>
      </c>
      <c r="EN4" s="198">
        <v>43629</v>
      </c>
      <c r="EO4" s="198">
        <v>43630</v>
      </c>
      <c r="EP4" s="198">
        <v>43631</v>
      </c>
      <c r="EQ4" s="198">
        <v>43632</v>
      </c>
      <c r="ER4" s="198">
        <v>43633</v>
      </c>
      <c r="ES4" s="198">
        <v>43634</v>
      </c>
      <c r="ET4" s="198">
        <v>43635</v>
      </c>
      <c r="EU4" s="198">
        <v>43636</v>
      </c>
      <c r="EV4" s="198">
        <v>43637</v>
      </c>
      <c r="EW4" s="198">
        <v>43638</v>
      </c>
      <c r="EX4" s="198">
        <v>43639</v>
      </c>
      <c r="EY4" s="198">
        <v>43640</v>
      </c>
      <c r="EZ4" s="198">
        <v>43641</v>
      </c>
      <c r="FA4" s="198">
        <v>43642</v>
      </c>
      <c r="FB4" s="198">
        <v>43643</v>
      </c>
      <c r="FC4" s="198">
        <v>43644</v>
      </c>
      <c r="FD4" s="198">
        <v>43645</v>
      </c>
      <c r="FE4" s="198">
        <v>43646</v>
      </c>
      <c r="FF4" s="198">
        <v>43647</v>
      </c>
      <c r="FG4" s="198">
        <v>43648</v>
      </c>
      <c r="FH4" s="198">
        <v>43649</v>
      </c>
      <c r="FI4" s="198">
        <v>43650</v>
      </c>
      <c r="FJ4" s="198">
        <v>43651</v>
      </c>
      <c r="FK4" s="198">
        <v>43652</v>
      </c>
      <c r="FL4" s="198">
        <v>43653</v>
      </c>
      <c r="FM4" s="198">
        <v>43654</v>
      </c>
      <c r="FN4" s="198">
        <v>43655</v>
      </c>
      <c r="FO4" s="198">
        <v>43656</v>
      </c>
      <c r="FP4" s="198">
        <v>43657</v>
      </c>
      <c r="FQ4" s="198">
        <v>43658</v>
      </c>
      <c r="FR4" s="198">
        <v>43659</v>
      </c>
      <c r="FS4" s="198">
        <v>43660</v>
      </c>
      <c r="FT4" s="198">
        <v>43661</v>
      </c>
      <c r="FU4" s="198">
        <v>43662</v>
      </c>
      <c r="FV4" s="198">
        <v>43663</v>
      </c>
      <c r="FW4" s="198">
        <v>43664</v>
      </c>
      <c r="FX4" s="198">
        <v>43665</v>
      </c>
      <c r="FY4" s="198">
        <v>43666</v>
      </c>
      <c r="FZ4" s="198">
        <v>43667</v>
      </c>
      <c r="GA4" s="198">
        <v>43668</v>
      </c>
      <c r="GB4" s="198">
        <v>43669</v>
      </c>
      <c r="GC4" s="198">
        <v>43670</v>
      </c>
      <c r="GD4" s="198">
        <v>43671</v>
      </c>
      <c r="GE4" s="198">
        <v>43672</v>
      </c>
      <c r="GF4" s="198">
        <v>43673</v>
      </c>
      <c r="GG4" s="198">
        <v>43674</v>
      </c>
      <c r="GH4" s="198">
        <v>43675</v>
      </c>
      <c r="GI4" s="198">
        <v>43676</v>
      </c>
      <c r="GJ4" s="198">
        <v>43677</v>
      </c>
      <c r="GK4" s="198">
        <v>43678</v>
      </c>
      <c r="GL4" s="198">
        <v>43679</v>
      </c>
      <c r="GM4" s="198">
        <v>43680</v>
      </c>
      <c r="GN4" s="198">
        <v>43681</v>
      </c>
      <c r="GO4" s="198">
        <v>43682</v>
      </c>
      <c r="GP4" s="198">
        <v>43683</v>
      </c>
      <c r="GQ4" s="198">
        <v>43684</v>
      </c>
      <c r="GR4" s="198">
        <v>43685</v>
      </c>
      <c r="GS4" s="198">
        <v>43686</v>
      </c>
      <c r="GT4" s="198">
        <v>43687</v>
      </c>
      <c r="GU4" s="198">
        <v>43688</v>
      </c>
      <c r="GV4" s="198">
        <v>43689</v>
      </c>
      <c r="GW4" s="198">
        <v>43690</v>
      </c>
      <c r="GX4" s="198">
        <v>43691</v>
      </c>
      <c r="GY4" s="198">
        <v>43692</v>
      </c>
      <c r="GZ4" s="198">
        <v>43693</v>
      </c>
      <c r="HA4" s="198">
        <v>43694</v>
      </c>
      <c r="HB4" s="198">
        <v>43695</v>
      </c>
      <c r="HC4" s="198">
        <v>43696</v>
      </c>
      <c r="HD4" s="198">
        <v>43697</v>
      </c>
      <c r="HE4" s="198">
        <v>43698</v>
      </c>
      <c r="HF4" s="198">
        <v>43699</v>
      </c>
      <c r="HG4" s="198">
        <v>43700</v>
      </c>
      <c r="HH4" s="198">
        <v>43701</v>
      </c>
      <c r="HI4" s="198">
        <v>43702</v>
      </c>
      <c r="HJ4" s="198">
        <v>43703</v>
      </c>
      <c r="HK4" s="198">
        <v>43704</v>
      </c>
      <c r="HL4" s="198">
        <v>43705</v>
      </c>
      <c r="HM4" s="198">
        <v>43706</v>
      </c>
      <c r="HN4" s="198">
        <v>43707</v>
      </c>
      <c r="HO4" s="198">
        <v>43708</v>
      </c>
      <c r="HP4" s="198">
        <v>43709</v>
      </c>
      <c r="HQ4" s="199">
        <v>43710</v>
      </c>
      <c r="HR4" s="196"/>
    </row>
    <row r="5" spans="1:226">
      <c r="A5" s="168"/>
      <c r="B5" s="168" t="s">
        <v>1069</v>
      </c>
      <c r="C5" s="168">
        <v>1</v>
      </c>
      <c r="D5" s="178" t="s">
        <v>1070</v>
      </c>
      <c r="E5" s="169" t="s">
        <v>851</v>
      </c>
      <c r="F5" s="169"/>
      <c r="G5" s="169"/>
      <c r="H5" s="169"/>
      <c r="I5" s="169"/>
      <c r="J5" s="169"/>
      <c r="K5" s="169"/>
      <c r="L5" s="169"/>
      <c r="M5" s="146">
        <v>43529</v>
      </c>
      <c r="N5" s="146">
        <v>43617</v>
      </c>
      <c r="O5" s="169"/>
      <c r="P5" s="170">
        <v>46</v>
      </c>
      <c r="Q5" s="170">
        <v>10</v>
      </c>
      <c r="R5" s="171" t="e">
        <f ca="1">IF(M5="","0",(N5-M5+1)-COUNTIFS(INDIRECT(getCalendarRange(O5)),"&gt;=" &amp; M5,INDIRECT(getCalendarRange(O5)),"&lt;=" &amp; N5))</f>
        <v>#NAME?</v>
      </c>
      <c r="S5" s="171" t="e">
        <f ca="1">IF(M5&gt;TODAY(),0,IF(N5&lt;TODAY(),R5,(TODAY()-M5+1)-COUNTIFS(INDIRECT(getCalendarRange(O5)),"&gt;=" &amp; M5,INDIRECT(getCalendarRange(O5)),"&lt;=" &amp; TODAY())))</f>
        <v>#NAME?</v>
      </c>
      <c r="T5" s="146"/>
      <c r="U5" s="146"/>
      <c r="V5" s="172">
        <v>0</v>
      </c>
      <c r="W5" s="173" t="str">
        <f ca="1">IF(U5="","0",IF(T5="","0",(U5-T5+1)-COUNTIFS(INDIRECT(getCalendarRange(O5)),"&gt;=" &amp; T5,INDIRECT(getCalendarRange(O5)),"&lt;=" &amp; U5)))</f>
        <v>0</v>
      </c>
      <c r="X5" s="174">
        <v>1</v>
      </c>
      <c r="Y5" s="169"/>
      <c r="Z5" s="175"/>
      <c r="AA5" s="176">
        <v>0.21739130434782608</v>
      </c>
      <c r="AB5" s="177">
        <v>0.54347826086956519</v>
      </c>
      <c r="AD5" s="205"/>
      <c r="AE5" s="204"/>
      <c r="AF5" s="204"/>
      <c r="AG5" s="204"/>
      <c r="AH5" s="204"/>
      <c r="AI5" s="204"/>
      <c r="AJ5" s="204"/>
      <c r="AK5" s="204"/>
      <c r="AL5" s="204"/>
      <c r="AM5" s="204"/>
      <c r="AN5" s="204"/>
      <c r="AO5" s="204"/>
      <c r="AP5" s="204"/>
      <c r="AQ5" s="204"/>
      <c r="AR5" s="204"/>
      <c r="AS5" s="204"/>
      <c r="AT5" s="204"/>
      <c r="AU5" s="204"/>
      <c r="AV5" s="204"/>
      <c r="AW5" s="204"/>
      <c r="AX5" s="204"/>
      <c r="AY5" s="204"/>
      <c r="AZ5" s="204"/>
      <c r="BA5" s="204"/>
      <c r="BB5" s="204"/>
      <c r="BC5" s="204"/>
      <c r="BD5" s="204"/>
      <c r="BE5" s="204"/>
      <c r="BF5" s="204"/>
      <c r="BG5" s="204"/>
      <c r="BH5" s="204"/>
      <c r="BI5" s="204"/>
      <c r="BJ5" s="204"/>
      <c r="BK5" s="204"/>
      <c r="BL5" s="204"/>
      <c r="BM5" s="204"/>
      <c r="BN5" s="204"/>
      <c r="BO5" s="204"/>
      <c r="BP5" s="204"/>
      <c r="BQ5" s="204" t="str">
        <f>E5 &amp; " " &amp; IF(M5="","",TEXT(M5,"M/D-")) &amp; IF(N5="","",TEXT(N5,"M/D")) &amp; " "</f>
        <v xml:space="preserve">프로젝트 관리 3/5-6/1 </v>
      </c>
      <c r="BR5" s="204"/>
      <c r="BS5" s="204"/>
      <c r="BT5" s="204"/>
      <c r="BU5" s="204"/>
      <c r="BV5" s="204"/>
      <c r="BW5" s="204"/>
      <c r="BX5" s="204"/>
      <c r="BY5" s="204"/>
      <c r="BZ5" s="204"/>
      <c r="CA5" s="204"/>
      <c r="CB5" s="204"/>
      <c r="CC5" s="204"/>
      <c r="CD5" s="204"/>
      <c r="CE5" s="204"/>
      <c r="CF5" s="204"/>
      <c r="CG5" s="204"/>
      <c r="CH5" s="204"/>
      <c r="CI5" s="204"/>
      <c r="CJ5" s="204"/>
      <c r="CK5" s="204"/>
      <c r="CL5" s="204"/>
      <c r="CM5" s="204"/>
      <c r="CN5" s="204"/>
      <c r="CO5" s="204"/>
      <c r="CP5" s="204"/>
      <c r="CQ5" s="204"/>
      <c r="CR5" s="204"/>
      <c r="CS5" s="204"/>
      <c r="CT5" s="204"/>
      <c r="CU5" s="204"/>
      <c r="CV5" s="204"/>
      <c r="CW5" s="204"/>
      <c r="CX5" s="204"/>
      <c r="CY5" s="204"/>
      <c r="CZ5" s="204"/>
      <c r="DA5" s="204"/>
      <c r="DB5" s="204"/>
      <c r="DC5" s="204"/>
      <c r="DD5" s="204"/>
      <c r="DE5" s="204"/>
      <c r="DF5" s="204"/>
      <c r="DG5" s="204"/>
      <c r="DH5" s="204"/>
      <c r="DI5" s="204"/>
      <c r="DJ5" s="204"/>
      <c r="DK5" s="204"/>
      <c r="DL5" s="204"/>
      <c r="DM5" s="204"/>
      <c r="DN5" s="204"/>
      <c r="DO5" s="204"/>
      <c r="DP5" s="204"/>
      <c r="DQ5" s="204"/>
      <c r="DR5" s="204"/>
      <c r="DS5" s="204"/>
      <c r="DT5" s="204"/>
      <c r="DU5" s="204"/>
      <c r="DV5" s="204"/>
      <c r="DW5" s="204"/>
      <c r="DX5" s="204"/>
      <c r="DY5" s="204"/>
      <c r="DZ5" s="204"/>
      <c r="EA5" s="204"/>
      <c r="EB5" s="204"/>
      <c r="EC5" s="204"/>
      <c r="ED5" s="204"/>
      <c r="EE5" s="204"/>
      <c r="EF5" s="204"/>
      <c r="EG5" s="204"/>
      <c r="EH5" s="204"/>
      <c r="EI5" s="204"/>
      <c r="EJ5" s="204"/>
      <c r="EK5" s="204"/>
      <c r="EL5" s="204"/>
      <c r="EM5" s="204"/>
      <c r="EN5" s="204"/>
      <c r="EO5" s="204"/>
      <c r="EP5" s="204"/>
      <c r="EQ5" s="204"/>
      <c r="ER5" s="204"/>
      <c r="ES5" s="204"/>
      <c r="ET5" s="204"/>
      <c r="EU5" s="204"/>
      <c r="EV5" s="204"/>
      <c r="EW5" s="194" t="str">
        <f>TEXT(AB5,"#0.00%") &amp; " "</f>
        <v xml:space="preserve">54.35% </v>
      </c>
      <c r="EX5" s="204"/>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c r="GC5" s="204"/>
      <c r="GD5" s="204"/>
      <c r="GE5" s="204"/>
      <c r="GF5" s="204"/>
      <c r="GG5" s="204"/>
      <c r="GH5" s="204"/>
      <c r="GI5" s="204"/>
      <c r="GJ5" s="204"/>
      <c r="GK5" s="204"/>
      <c r="GL5" s="204"/>
      <c r="GM5" s="204"/>
      <c r="GN5" s="204"/>
      <c r="GO5" s="204"/>
      <c r="GP5" s="204"/>
      <c r="GQ5" s="204"/>
      <c r="GR5" s="204"/>
      <c r="GS5" s="204"/>
      <c r="GT5" s="204"/>
      <c r="GU5" s="204"/>
      <c r="GV5" s="204"/>
      <c r="GW5" s="204"/>
      <c r="GX5" s="204"/>
      <c r="GY5" s="204"/>
      <c r="GZ5" s="204"/>
      <c r="HA5" s="204"/>
      <c r="HB5" s="204"/>
      <c r="HC5" s="204"/>
      <c r="HD5" s="204"/>
      <c r="HE5" s="204"/>
      <c r="HF5" s="204"/>
      <c r="HG5" s="204"/>
      <c r="HH5" s="204"/>
      <c r="HI5" s="204"/>
      <c r="HJ5" s="204"/>
      <c r="HK5" s="204"/>
      <c r="HL5" s="204"/>
      <c r="HM5" s="204"/>
      <c r="HN5" s="204"/>
      <c r="HO5" s="204"/>
      <c r="HP5" s="204"/>
      <c r="HQ5" s="204"/>
    </row>
    <row r="6" spans="1:226">
      <c r="A6" s="168"/>
      <c r="B6" s="168" t="s">
        <v>1069</v>
      </c>
      <c r="C6" s="168">
        <v>2</v>
      </c>
      <c r="D6" s="178" t="s">
        <v>1071</v>
      </c>
      <c r="E6" s="169"/>
      <c r="F6" s="169" t="s">
        <v>1126</v>
      </c>
      <c r="G6" s="169"/>
      <c r="H6" s="169"/>
      <c r="I6" s="169"/>
      <c r="J6" s="169"/>
      <c r="K6" s="169"/>
      <c r="L6" s="169"/>
      <c r="M6" s="146">
        <v>43529</v>
      </c>
      <c r="N6" s="146">
        <v>43577</v>
      </c>
      <c r="O6" s="169"/>
      <c r="P6" s="170">
        <v>6</v>
      </c>
      <c r="Q6" s="170">
        <v>6</v>
      </c>
      <c r="R6" s="171" t="e">
        <f ca="1">IF(M6="","0",(N6-M6+1)-COUNTIFS(INDIRECT(getCalendarRange(O6)),"&gt;=" &amp; M6,INDIRECT(getCalendarRange(O6)),"&lt;=" &amp; N6))</f>
        <v>#NAME?</v>
      </c>
      <c r="S6" s="171" t="e">
        <f ca="1">IF(M6&gt;TODAY(),0,IF(N6&lt;TODAY(),R6,(TODAY()-M6+1)-COUNTIFS(INDIRECT(getCalendarRange(O6)),"&gt;=" &amp; M6,INDIRECT(getCalendarRange(O6)),"&lt;=" &amp; TODAY())))</f>
        <v>#NAME?</v>
      </c>
      <c r="T6" s="146"/>
      <c r="U6" s="146"/>
      <c r="V6" s="172">
        <v>0</v>
      </c>
      <c r="W6" s="173" t="str">
        <f ca="1">IF(U6="","0",IF(T6="","0",(U6-T6+1)-COUNTIFS(INDIRECT(getCalendarRange(O6)),"&gt;=" &amp; T6,INDIRECT(getCalendarRange(O6)),"&lt;=" &amp; U6)))</f>
        <v>0</v>
      </c>
      <c r="X6" s="174">
        <v>1</v>
      </c>
      <c r="Y6" s="169"/>
      <c r="Z6" s="175"/>
      <c r="AA6" s="176">
        <v>1</v>
      </c>
      <c r="AB6" s="177">
        <v>1</v>
      </c>
      <c r="AD6" s="205"/>
      <c r="AE6" s="204"/>
      <c r="AF6" s="204"/>
      <c r="AG6" s="204"/>
      <c r="AH6" s="204"/>
      <c r="AI6" s="204"/>
      <c r="AJ6" s="204"/>
      <c r="AK6" s="204"/>
      <c r="AL6" s="204"/>
      <c r="AM6" s="204"/>
      <c r="AN6" s="204"/>
      <c r="AO6" s="204"/>
      <c r="AP6" s="204"/>
      <c r="AQ6" s="204"/>
      <c r="AR6" s="204"/>
      <c r="AS6" s="204"/>
      <c r="AT6" s="204"/>
      <c r="AU6" s="204"/>
      <c r="AV6" s="204"/>
      <c r="AW6" s="204"/>
      <c r="AX6" s="204"/>
      <c r="AY6" s="204"/>
      <c r="AZ6" s="204"/>
      <c r="BA6" s="204"/>
      <c r="BB6" s="204"/>
      <c r="BC6" s="204"/>
      <c r="BD6" s="204"/>
      <c r="BE6" s="204"/>
      <c r="BF6" s="204"/>
      <c r="BG6" s="204"/>
      <c r="BH6" s="204"/>
      <c r="BI6" s="204"/>
      <c r="BJ6" s="204"/>
      <c r="BK6" s="204"/>
      <c r="BL6" s="204"/>
      <c r="BM6" s="204"/>
      <c r="BN6" s="204"/>
      <c r="BO6" s="204"/>
      <c r="BP6" s="204"/>
      <c r="BQ6" s="204" t="str">
        <f>F6 &amp; " " &amp; IF(M6="","",TEXT(M6,"M/D-")) &amp; IF(N6="","",TEXT(N6,"M/D")) &amp; " "</f>
        <v xml:space="preserve">프로젝트 착수 및 계획수립 3/5-4/22 </v>
      </c>
      <c r="BR6" s="204"/>
      <c r="BS6" s="204"/>
      <c r="BT6" s="204"/>
      <c r="BU6" s="204"/>
      <c r="BV6" s="204"/>
      <c r="BW6" s="204"/>
      <c r="BX6" s="204"/>
      <c r="BY6" s="204"/>
      <c r="BZ6" s="204"/>
      <c r="CA6" s="204"/>
      <c r="CB6" s="204"/>
      <c r="CC6" s="204"/>
      <c r="CD6" s="204"/>
      <c r="CE6" s="204"/>
      <c r="CF6" s="204"/>
      <c r="CG6" s="204"/>
      <c r="CH6" s="204"/>
      <c r="CI6" s="204"/>
      <c r="CJ6" s="204"/>
      <c r="CK6" s="204"/>
      <c r="CL6" s="204"/>
      <c r="CM6" s="204"/>
      <c r="CN6" s="204"/>
      <c r="CO6" s="194" t="str">
        <f>TEXT(AB6,"#0.00%") &amp; " "</f>
        <v xml:space="preserve">100.00% </v>
      </c>
      <c r="CP6" s="204"/>
      <c r="CQ6" s="204"/>
      <c r="CR6" s="204"/>
      <c r="CS6" s="204"/>
      <c r="CT6" s="204"/>
      <c r="CU6" s="204"/>
      <c r="CV6" s="204"/>
      <c r="CW6" s="204"/>
      <c r="CX6" s="204"/>
      <c r="CY6" s="204"/>
      <c r="CZ6" s="204"/>
      <c r="DA6" s="204"/>
      <c r="DB6" s="204"/>
      <c r="DC6" s="204"/>
      <c r="DD6" s="204"/>
      <c r="DE6" s="204"/>
      <c r="DF6" s="204"/>
      <c r="DG6" s="204"/>
      <c r="DH6" s="204"/>
      <c r="DI6" s="204"/>
      <c r="DJ6" s="204"/>
      <c r="DK6" s="204"/>
      <c r="DL6" s="204"/>
      <c r="DM6" s="204"/>
      <c r="DN6" s="204"/>
      <c r="DO6" s="204"/>
      <c r="DP6" s="204"/>
      <c r="DQ6" s="204"/>
      <c r="DR6" s="204"/>
      <c r="DS6" s="204"/>
      <c r="DT6" s="204"/>
      <c r="DU6" s="204"/>
      <c r="DV6" s="204"/>
      <c r="DW6" s="204"/>
      <c r="DX6" s="204"/>
      <c r="DY6" s="204"/>
      <c r="DZ6" s="204"/>
      <c r="EA6" s="204"/>
      <c r="EB6" s="204"/>
      <c r="EC6" s="204"/>
      <c r="ED6" s="204"/>
      <c r="EE6" s="204"/>
      <c r="EF6" s="204"/>
      <c r="EG6" s="204"/>
      <c r="EH6" s="204"/>
      <c r="EI6" s="204"/>
      <c r="EJ6" s="204"/>
      <c r="EK6" s="204"/>
      <c r="EL6" s="204"/>
      <c r="EM6" s="204"/>
      <c r="EN6" s="204"/>
      <c r="EO6" s="204"/>
      <c r="EP6" s="204"/>
      <c r="EQ6" s="204"/>
      <c r="ER6" s="204"/>
      <c r="ES6" s="204"/>
      <c r="ET6" s="204"/>
      <c r="EU6" s="204"/>
      <c r="EV6" s="204"/>
      <c r="EW6" s="204"/>
      <c r="EX6" s="204"/>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c r="GC6" s="204"/>
      <c r="GD6" s="204"/>
      <c r="GE6" s="204"/>
      <c r="GF6" s="204"/>
      <c r="GG6" s="204"/>
      <c r="GH6" s="204"/>
      <c r="GI6" s="204"/>
      <c r="GJ6" s="204"/>
      <c r="GK6" s="204"/>
      <c r="GL6" s="204"/>
      <c r="GM6" s="204"/>
      <c r="GN6" s="204"/>
      <c r="GO6" s="204"/>
      <c r="GP6" s="204"/>
      <c r="GQ6" s="204"/>
      <c r="GR6" s="204"/>
      <c r="GS6" s="204"/>
      <c r="GT6" s="204"/>
      <c r="GU6" s="204"/>
      <c r="GV6" s="204"/>
      <c r="GW6" s="204"/>
      <c r="GX6" s="204"/>
      <c r="GY6" s="204"/>
      <c r="GZ6" s="204"/>
      <c r="HA6" s="204"/>
      <c r="HB6" s="204"/>
      <c r="HC6" s="204"/>
      <c r="HD6" s="204"/>
      <c r="HE6" s="204"/>
      <c r="HF6" s="204"/>
      <c r="HG6" s="204"/>
      <c r="HH6" s="204"/>
      <c r="HI6" s="204"/>
      <c r="HJ6" s="204"/>
      <c r="HK6" s="204"/>
      <c r="HL6" s="204"/>
      <c r="HM6" s="204"/>
      <c r="HN6" s="204"/>
      <c r="HO6" s="204"/>
      <c r="HP6" s="204"/>
      <c r="HQ6" s="204"/>
    </row>
    <row r="7" spans="1:226" ht="13.2">
      <c r="A7" s="168"/>
      <c r="B7" s="168"/>
      <c r="C7" s="168">
        <v>3</v>
      </c>
      <c r="D7" s="178" t="s">
        <v>821</v>
      </c>
      <c r="E7" s="169"/>
      <c r="F7" s="169"/>
      <c r="G7" s="169" t="s">
        <v>852</v>
      </c>
      <c r="H7" s="169"/>
      <c r="I7" s="169"/>
      <c r="J7" s="169"/>
      <c r="K7" s="169"/>
      <c r="L7" s="169"/>
      <c r="M7" s="146">
        <v>43529</v>
      </c>
      <c r="N7" s="146">
        <v>43529</v>
      </c>
      <c r="O7" s="169"/>
      <c r="P7" s="170">
        <v>1</v>
      </c>
      <c r="Q7" s="170">
        <v>1</v>
      </c>
      <c r="R7" s="171" t="e">
        <f ca="1">IF(M7="","0",(N7-M7+1)-COUNTIFS(INDIRECT(getCalendarRange(O7)),"&gt;=" &amp; M7,INDIRECT(getCalendarRange(O7)),"&lt;=" &amp; N7))</f>
        <v>#NAME?</v>
      </c>
      <c r="S7" s="171" t="e">
        <f ca="1">IF(M7&gt;TODAY(),0,IF(N7&lt;TODAY(),R7,(TODAY()-M7+1)-COUNTIFS(INDIRECT(getCalendarRange(O7)),"&gt;=" &amp; M7,INDIRECT(getCalendarRange(O7)),"&lt;=" &amp; TODAY())))</f>
        <v>#NAME?</v>
      </c>
      <c r="T7" s="146">
        <v>42675</v>
      </c>
      <c r="U7" s="146">
        <v>42676</v>
      </c>
      <c r="V7" s="172">
        <v>2</v>
      </c>
      <c r="W7" s="173" t="e">
        <f ca="1">IF(U7="","0",IF(T7="","0",(U7-T7+1)-COUNTIFS(INDIRECT(getCalendarRange(O7)),"&gt;=" &amp; T7,INDIRECT(getCalendarRange(O7)),"&lt;=" &amp; U7)))</f>
        <v>#NAME?</v>
      </c>
      <c r="X7" s="174">
        <v>1</v>
      </c>
      <c r="Y7" s="212" t="s">
        <v>1171</v>
      </c>
      <c r="Z7" s="175"/>
      <c r="AA7" s="176">
        <v>1</v>
      </c>
      <c r="AB7" s="177">
        <v>1</v>
      </c>
      <c r="AD7" s="205"/>
      <c r="AE7" s="204"/>
      <c r="AF7" s="204"/>
      <c r="AG7" s="204"/>
      <c r="AH7" s="204"/>
      <c r="AI7" s="204"/>
      <c r="AJ7" s="204"/>
      <c r="AK7" s="204"/>
      <c r="AL7" s="204"/>
      <c r="AM7" s="204"/>
      <c r="AN7" s="204"/>
      <c r="AO7" s="204"/>
      <c r="AP7" s="204"/>
      <c r="AQ7" s="204"/>
      <c r="AR7" s="204"/>
      <c r="AS7" s="204"/>
      <c r="AT7" s="204"/>
      <c r="AU7" s="204"/>
      <c r="AV7" s="204"/>
      <c r="AW7" s="204"/>
      <c r="AX7" s="204"/>
      <c r="AY7" s="204"/>
      <c r="AZ7" s="204"/>
      <c r="BA7" s="204"/>
      <c r="BB7" s="204"/>
      <c r="BC7" s="204"/>
      <c r="BD7" s="204"/>
      <c r="BE7" s="204"/>
      <c r="BF7" s="204"/>
      <c r="BG7" s="204"/>
      <c r="BH7" s="204"/>
      <c r="BI7" s="204"/>
      <c r="BJ7" s="204"/>
      <c r="BK7" s="204"/>
      <c r="BL7" s="204"/>
      <c r="BM7" s="204"/>
      <c r="BN7" s="204"/>
      <c r="BO7" s="204"/>
      <c r="BP7" s="204"/>
      <c r="BQ7" s="204" t="str">
        <f>G7 &amp; " " &amp; IF(M7="","",TEXT(M7,"M/D-")) &amp; IF(N7="","",TEXT(N7,"M/D")) &amp; " "</f>
        <v xml:space="preserve">프로젝트 착수 3/5-3/5 </v>
      </c>
      <c r="BR7" s="204"/>
      <c r="BS7" s="204"/>
      <c r="BT7" s="194" t="str">
        <f>TEXT(AB7,"#0.00%") &amp; " "</f>
        <v xml:space="preserve">100.00% </v>
      </c>
      <c r="BU7" s="204"/>
      <c r="BV7" s="204"/>
      <c r="BW7" s="204"/>
      <c r="BX7" s="204"/>
      <c r="BY7" s="204"/>
      <c r="BZ7" s="204"/>
      <c r="CA7" s="204"/>
      <c r="CB7" s="204"/>
      <c r="CC7" s="204"/>
      <c r="CD7" s="204"/>
      <c r="CE7" s="204"/>
      <c r="CF7" s="204"/>
      <c r="CG7" s="204"/>
      <c r="CH7" s="204"/>
      <c r="CI7" s="204"/>
      <c r="CJ7" s="204"/>
      <c r="CK7" s="204"/>
      <c r="CL7" s="204"/>
      <c r="CM7" s="204"/>
      <c r="CN7" s="204"/>
      <c r="CO7" s="204"/>
      <c r="CP7" s="204"/>
      <c r="CQ7" s="204"/>
      <c r="CR7" s="204"/>
      <c r="CS7" s="204"/>
      <c r="CT7" s="204"/>
      <c r="CU7" s="204"/>
      <c r="CV7" s="204"/>
      <c r="CW7" s="204"/>
      <c r="CX7" s="204"/>
      <c r="CY7" s="204"/>
      <c r="CZ7" s="204"/>
      <c r="DA7" s="204"/>
      <c r="DB7" s="204"/>
      <c r="DC7" s="204"/>
      <c r="DD7" s="204"/>
      <c r="DE7" s="204"/>
      <c r="DF7" s="204"/>
      <c r="DG7" s="204"/>
      <c r="DH7" s="204"/>
      <c r="DI7" s="204"/>
      <c r="DJ7" s="204"/>
      <c r="DK7" s="204"/>
      <c r="DL7" s="204"/>
      <c r="DM7" s="204"/>
      <c r="DN7" s="204"/>
      <c r="DO7" s="204"/>
      <c r="DP7" s="204"/>
      <c r="DQ7" s="204"/>
      <c r="DR7" s="204"/>
      <c r="DS7" s="204"/>
      <c r="DT7" s="204"/>
      <c r="DU7" s="204"/>
      <c r="DV7" s="204"/>
      <c r="DW7" s="204"/>
      <c r="DX7" s="204"/>
      <c r="DY7" s="204"/>
      <c r="DZ7" s="204"/>
      <c r="EA7" s="204"/>
      <c r="EB7" s="204"/>
      <c r="EC7" s="204"/>
      <c r="ED7" s="204"/>
      <c r="EE7" s="204"/>
      <c r="EF7" s="204"/>
      <c r="EG7" s="204"/>
      <c r="EH7" s="204"/>
      <c r="EI7" s="204"/>
      <c r="EJ7" s="204"/>
      <c r="EK7" s="204"/>
      <c r="EL7" s="204"/>
      <c r="EM7" s="204"/>
      <c r="EN7" s="204"/>
      <c r="EO7" s="204"/>
      <c r="EP7" s="204"/>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c r="HD7" s="204"/>
      <c r="HE7" s="204"/>
      <c r="HF7" s="204"/>
      <c r="HG7" s="204"/>
      <c r="HH7" s="204"/>
      <c r="HI7" s="204"/>
      <c r="HJ7" s="204"/>
      <c r="HK7" s="204"/>
      <c r="HL7" s="204"/>
      <c r="HM7" s="204"/>
      <c r="HN7" s="204"/>
      <c r="HO7" s="204"/>
      <c r="HP7" s="204"/>
      <c r="HQ7" s="204"/>
    </row>
    <row r="8" spans="1:226" ht="13.2">
      <c r="A8" s="168"/>
      <c r="B8" s="168" t="s">
        <v>1069</v>
      </c>
      <c r="C8" s="168">
        <v>3</v>
      </c>
      <c r="D8" s="178" t="s">
        <v>1072</v>
      </c>
      <c r="E8" s="169"/>
      <c r="F8" s="169"/>
      <c r="G8" s="169" t="s">
        <v>853</v>
      </c>
      <c r="H8" s="169"/>
      <c r="I8" s="169"/>
      <c r="J8" s="169"/>
      <c r="K8" s="169"/>
      <c r="L8" s="169"/>
      <c r="M8" s="146">
        <v>43530</v>
      </c>
      <c r="N8" s="146">
        <v>43536</v>
      </c>
      <c r="O8" s="169"/>
      <c r="P8" s="170">
        <v>5</v>
      </c>
      <c r="Q8" s="170">
        <v>5</v>
      </c>
      <c r="R8" s="171" t="e">
        <f ca="1">IF(M8="","0",(N8-M8+1)-COUNTIFS(INDIRECT(getCalendarRange(O8)),"&gt;=" &amp; M8,INDIRECT(getCalendarRange(O8)),"&lt;=" &amp; N8))</f>
        <v>#NAME?</v>
      </c>
      <c r="S8" s="171" t="e">
        <f ca="1">IF(M8&gt;TODAY(),0,IF(N8&lt;TODAY(),R8,(TODAY()-M8+1)-COUNTIFS(INDIRECT(getCalendarRange(O8)),"&gt;=" &amp; M8,INDIRECT(getCalendarRange(O8)),"&lt;=" &amp; TODAY())))</f>
        <v>#NAME?</v>
      </c>
      <c r="T8" s="146"/>
      <c r="U8" s="146"/>
      <c r="V8" s="172">
        <v>0</v>
      </c>
      <c r="W8" s="173" t="str">
        <f ca="1">IF(U8="","0",IF(T8="","0",(U8-T8+1)-COUNTIFS(INDIRECT(getCalendarRange(O8)),"&gt;=" &amp; T8,INDIRECT(getCalendarRange(O8)),"&lt;=" &amp; U8)))</f>
        <v>0</v>
      </c>
      <c r="X8" s="174">
        <v>1</v>
      </c>
      <c r="Y8" s="212" t="s">
        <v>1171</v>
      </c>
      <c r="Z8" s="175"/>
      <c r="AA8" s="176">
        <v>1</v>
      </c>
      <c r="AB8" s="177">
        <v>1</v>
      </c>
      <c r="AD8" s="205"/>
      <c r="AE8" s="204"/>
      <c r="AF8" s="204"/>
      <c r="AG8" s="204"/>
      <c r="AH8" s="204"/>
      <c r="AI8" s="204"/>
      <c r="AJ8" s="204"/>
      <c r="AK8" s="204"/>
      <c r="AL8" s="204"/>
      <c r="AM8" s="204"/>
      <c r="AN8" s="204"/>
      <c r="AO8" s="204"/>
      <c r="AP8" s="204"/>
      <c r="AQ8" s="204"/>
      <c r="AR8" s="204"/>
      <c r="AS8" s="204"/>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c r="BU8" s="204" t="str">
        <f>G8 &amp; " " &amp; IF(M8="","",TEXT(M8,"M/D-")) &amp; IF(N8="","",TEXT(N8,"M/D")) &amp; " "</f>
        <v xml:space="preserve">프로젝트 범위정의 3/6-3/12 </v>
      </c>
      <c r="BV8" s="204"/>
      <c r="BW8" s="204"/>
      <c r="BX8" s="204"/>
      <c r="BY8" s="204"/>
      <c r="BZ8" s="204"/>
      <c r="CA8" s="204"/>
      <c r="CB8" s="204"/>
      <c r="CC8" s="204"/>
      <c r="CD8" s="204"/>
      <c r="CE8" s="204"/>
      <c r="CF8" s="204"/>
      <c r="CG8" s="204"/>
      <c r="CH8" s="204"/>
      <c r="CI8" s="204"/>
      <c r="CJ8" s="204"/>
      <c r="CK8" s="204"/>
      <c r="CL8" s="204"/>
      <c r="CM8" s="204"/>
      <c r="CN8" s="204"/>
      <c r="CO8" s="194" t="str">
        <f>TEXT(AB8,"#0.00%") &amp; " "</f>
        <v xml:space="preserve">100.00% </v>
      </c>
      <c r="CP8" s="204"/>
      <c r="CQ8" s="204"/>
      <c r="CR8" s="204"/>
      <c r="CS8" s="204"/>
      <c r="CT8" s="204"/>
      <c r="CU8" s="204"/>
      <c r="CV8" s="204"/>
      <c r="CW8" s="204"/>
      <c r="CX8" s="204"/>
      <c r="CY8" s="204"/>
      <c r="CZ8" s="204"/>
      <c r="DA8" s="204"/>
      <c r="DB8" s="204"/>
      <c r="DC8" s="204"/>
      <c r="DD8" s="204"/>
      <c r="DE8" s="204"/>
      <c r="DF8" s="204"/>
      <c r="DG8" s="204"/>
      <c r="DH8" s="204"/>
      <c r="DI8" s="204"/>
      <c r="DJ8" s="204"/>
      <c r="DK8" s="204"/>
      <c r="DL8" s="204"/>
      <c r="DM8" s="204"/>
      <c r="DN8" s="204"/>
      <c r="DO8" s="204"/>
      <c r="DP8" s="204"/>
      <c r="DQ8" s="204"/>
      <c r="DR8" s="204"/>
      <c r="DS8" s="204"/>
      <c r="DT8" s="204"/>
      <c r="DU8" s="204"/>
      <c r="DV8" s="204"/>
      <c r="DW8" s="204"/>
      <c r="DX8" s="204"/>
      <c r="DY8" s="204"/>
      <c r="DZ8" s="204"/>
      <c r="EA8" s="204"/>
      <c r="EB8" s="204"/>
      <c r="EC8" s="204"/>
      <c r="ED8" s="204"/>
      <c r="EE8" s="204"/>
      <c r="EF8" s="204"/>
      <c r="EG8" s="204"/>
      <c r="EH8" s="204"/>
      <c r="EI8" s="204"/>
      <c r="EJ8" s="204"/>
      <c r="EK8" s="204"/>
      <c r="EL8" s="204"/>
      <c r="EM8" s="204"/>
      <c r="EN8" s="204"/>
      <c r="EO8" s="204"/>
      <c r="EP8" s="204"/>
      <c r="EQ8" s="204"/>
      <c r="ER8" s="204"/>
      <c r="ES8" s="204"/>
      <c r="ET8" s="204"/>
      <c r="EU8" s="204"/>
      <c r="EV8" s="204"/>
      <c r="EW8" s="204"/>
      <c r="EX8" s="204"/>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c r="GC8" s="204"/>
      <c r="GD8" s="204"/>
      <c r="GE8" s="204"/>
      <c r="GF8" s="204"/>
      <c r="GG8" s="204"/>
      <c r="GH8" s="204"/>
      <c r="GI8" s="204"/>
      <c r="GJ8" s="204"/>
      <c r="GK8" s="204"/>
      <c r="GL8" s="204"/>
      <c r="GM8" s="204"/>
      <c r="GN8" s="204"/>
      <c r="GO8" s="204"/>
      <c r="GP8" s="204"/>
      <c r="GQ8" s="204"/>
      <c r="GR8" s="204"/>
      <c r="GS8" s="204"/>
      <c r="GT8" s="204"/>
      <c r="GU8" s="204"/>
      <c r="GV8" s="204"/>
      <c r="GW8" s="204"/>
      <c r="GX8" s="204"/>
      <c r="GY8" s="204"/>
      <c r="GZ8" s="204"/>
      <c r="HA8" s="204"/>
      <c r="HB8" s="204"/>
      <c r="HC8" s="204"/>
      <c r="HD8" s="204"/>
      <c r="HE8" s="204"/>
      <c r="HF8" s="204"/>
      <c r="HG8" s="204"/>
      <c r="HH8" s="204"/>
      <c r="HI8" s="204"/>
      <c r="HJ8" s="204"/>
      <c r="HK8" s="204"/>
      <c r="HL8" s="204"/>
      <c r="HM8" s="204"/>
      <c r="HN8" s="204"/>
      <c r="HO8" s="204"/>
      <c r="HP8" s="204"/>
      <c r="HQ8" s="204"/>
    </row>
    <row r="9" spans="1:226" ht="13.2">
      <c r="A9" s="168"/>
      <c r="B9" s="168"/>
      <c r="C9" s="168">
        <v>4</v>
      </c>
      <c r="D9" s="178" t="s">
        <v>1027</v>
      </c>
      <c r="E9" s="169"/>
      <c r="F9" s="169"/>
      <c r="G9" s="169"/>
      <c r="H9" s="169" t="s">
        <v>856</v>
      </c>
      <c r="I9" s="169"/>
      <c r="J9" s="169"/>
      <c r="K9" s="169"/>
      <c r="L9" s="169"/>
      <c r="M9" s="146">
        <v>43530</v>
      </c>
      <c r="N9" s="146">
        <v>43532</v>
      </c>
      <c r="O9" s="169"/>
      <c r="P9" s="170">
        <v>5</v>
      </c>
      <c r="Q9" s="170">
        <v>5</v>
      </c>
      <c r="R9" s="171" t="e">
        <f ca="1">IF(M9="","0",(N9-M9+1)-COUNTIFS(INDIRECT(getCalendarRange(O9)),"&gt;=" &amp; M9,INDIRECT(getCalendarRange(O9)),"&lt;=" &amp; N9))</f>
        <v>#NAME?</v>
      </c>
      <c r="S9" s="171" t="e">
        <f ca="1">IF(M9&gt;TODAY(),0,IF(N9&lt;TODAY(),R9,(TODAY()-M9+1)-COUNTIFS(INDIRECT(getCalendarRange(O9)),"&gt;=" &amp; M9,INDIRECT(getCalendarRange(O9)),"&lt;=" &amp; TODAY())))</f>
        <v>#NAME?</v>
      </c>
      <c r="T9" s="146">
        <v>42679</v>
      </c>
      <c r="U9" s="146">
        <v>42685</v>
      </c>
      <c r="V9" s="172">
        <v>5</v>
      </c>
      <c r="W9" s="173" t="e">
        <f ca="1">IF(U9="","0",IF(T9="","0",(U9-T9+1)-COUNTIFS(INDIRECT(getCalendarRange(O9)),"&gt;=" &amp; T9,INDIRECT(getCalendarRange(O9)),"&lt;=" &amp; U9)))</f>
        <v>#NAME?</v>
      </c>
      <c r="X9" s="174">
        <v>1</v>
      </c>
      <c r="Y9" s="211" t="s">
        <v>1170</v>
      </c>
      <c r="Z9" s="213" t="s">
        <v>1169</v>
      </c>
      <c r="AA9" s="176">
        <v>1</v>
      </c>
      <c r="AB9" s="177">
        <v>1</v>
      </c>
      <c r="AD9" s="205"/>
      <c r="AE9" s="204"/>
      <c r="AF9" s="204"/>
      <c r="AG9" s="204"/>
      <c r="AH9" s="204"/>
      <c r="AI9" s="204"/>
      <c r="AJ9" s="204"/>
      <c r="AK9" s="204"/>
      <c r="AL9" s="204"/>
      <c r="AM9" s="204"/>
      <c r="AN9" s="204"/>
      <c r="AO9" s="204"/>
      <c r="AP9" s="204"/>
      <c r="AQ9" s="204"/>
      <c r="AR9" s="204"/>
      <c r="AS9" s="204"/>
      <c r="AT9" s="204"/>
      <c r="AU9" s="204"/>
      <c r="AV9" s="204"/>
      <c r="AW9" s="204"/>
      <c r="AX9" s="204"/>
      <c r="AY9" s="204"/>
      <c r="AZ9" s="204"/>
      <c r="BA9" s="204"/>
      <c r="BB9" s="204"/>
      <c r="BC9" s="204"/>
      <c r="BD9" s="204"/>
      <c r="BE9" s="204"/>
      <c r="BF9" s="204"/>
      <c r="BG9" s="204"/>
      <c r="BH9" s="204"/>
      <c r="BI9" s="204"/>
      <c r="BJ9" s="204"/>
      <c r="BK9" s="204"/>
      <c r="BL9" s="204"/>
      <c r="BM9" s="204"/>
      <c r="BN9" s="204"/>
      <c r="BO9" s="204"/>
      <c r="BP9" s="204"/>
      <c r="BQ9" s="204"/>
      <c r="BR9" s="204"/>
      <c r="BS9" s="204"/>
      <c r="BT9" s="204"/>
      <c r="BU9" s="204" t="str">
        <f>H9 &amp; " " &amp; IF(M9="","",TEXT(M9,"M/D-")) &amp; IF(N9="","",TEXT(N9,"M/D")) &amp; " "</f>
        <v xml:space="preserve">프로젝트 계획 수립 3/6-3/8 </v>
      </c>
      <c r="BV9" s="204"/>
      <c r="BW9" s="204"/>
      <c r="BX9" s="204"/>
      <c r="BY9" s="204"/>
      <c r="BZ9" s="204"/>
      <c r="CA9" s="204"/>
      <c r="CB9" s="204"/>
      <c r="CC9" s="194" t="str">
        <f>TEXT(AB9,"#0.00%") &amp; " "</f>
        <v xml:space="preserve">100.00% </v>
      </c>
      <c r="CD9" s="204"/>
      <c r="CE9" s="204"/>
      <c r="CF9" s="204"/>
      <c r="CG9" s="204"/>
      <c r="CH9" s="204"/>
      <c r="CI9" s="204"/>
      <c r="CJ9" s="204"/>
      <c r="CK9" s="204"/>
      <c r="CL9" s="204"/>
      <c r="CM9" s="204"/>
      <c r="CN9" s="204"/>
      <c r="CO9" s="204"/>
      <c r="CP9" s="204"/>
      <c r="CQ9" s="204"/>
      <c r="CR9" s="204"/>
      <c r="CS9" s="204"/>
      <c r="CT9" s="204"/>
      <c r="CU9" s="204"/>
      <c r="CV9" s="204"/>
      <c r="CW9" s="204"/>
      <c r="CX9" s="204"/>
      <c r="CY9" s="204"/>
      <c r="CZ9" s="204"/>
      <c r="DA9" s="204"/>
      <c r="DB9" s="204"/>
      <c r="DC9" s="204"/>
      <c r="DD9" s="204"/>
      <c r="DE9" s="204"/>
      <c r="DF9" s="204"/>
      <c r="DG9" s="204"/>
      <c r="DH9" s="204"/>
      <c r="DI9" s="204"/>
      <c r="DJ9" s="204"/>
      <c r="DK9" s="204"/>
      <c r="DL9" s="204"/>
      <c r="DM9" s="204"/>
      <c r="DN9" s="204"/>
      <c r="DO9" s="204"/>
      <c r="DP9" s="204"/>
      <c r="DQ9" s="204"/>
      <c r="DR9" s="204"/>
      <c r="DS9" s="204"/>
      <c r="DT9" s="204"/>
      <c r="DU9" s="204"/>
      <c r="DV9" s="204"/>
      <c r="DW9" s="204"/>
      <c r="DX9" s="204"/>
      <c r="DY9" s="204"/>
      <c r="DZ9" s="204"/>
      <c r="EA9" s="204"/>
      <c r="EB9" s="204"/>
      <c r="EC9" s="204"/>
      <c r="ED9" s="204"/>
      <c r="EE9" s="204"/>
      <c r="EF9" s="204"/>
      <c r="EG9" s="204"/>
      <c r="EH9" s="204"/>
      <c r="EI9" s="204"/>
      <c r="EJ9" s="204"/>
      <c r="EK9" s="204"/>
      <c r="EL9" s="204"/>
      <c r="EM9" s="204"/>
      <c r="EN9" s="204"/>
      <c r="EO9" s="204"/>
      <c r="EP9" s="204"/>
      <c r="EQ9" s="204"/>
      <c r="ER9" s="204"/>
      <c r="ES9" s="204"/>
      <c r="ET9" s="204"/>
      <c r="EU9" s="204"/>
      <c r="EV9" s="204"/>
      <c r="EW9" s="204"/>
      <c r="EX9" s="204"/>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c r="GC9" s="204"/>
      <c r="GD9" s="204"/>
      <c r="GE9" s="204"/>
      <c r="GF9" s="204"/>
      <c r="GG9" s="204"/>
      <c r="GH9" s="204"/>
      <c r="GI9" s="204"/>
      <c r="GJ9" s="204"/>
      <c r="GK9" s="204"/>
      <c r="GL9" s="204"/>
      <c r="GM9" s="204"/>
      <c r="GN9" s="204"/>
      <c r="GO9" s="204"/>
      <c r="GP9" s="204"/>
      <c r="GQ9" s="204"/>
      <c r="GR9" s="204"/>
      <c r="GS9" s="204"/>
      <c r="GT9" s="204"/>
      <c r="GU9" s="204"/>
      <c r="GV9" s="204"/>
      <c r="GW9" s="204"/>
      <c r="GX9" s="204"/>
      <c r="GY9" s="204"/>
      <c r="GZ9" s="204"/>
      <c r="HA9" s="204"/>
      <c r="HB9" s="204"/>
      <c r="HC9" s="204"/>
      <c r="HD9" s="204"/>
      <c r="HE9" s="204"/>
      <c r="HF9" s="204"/>
      <c r="HG9" s="204"/>
      <c r="HH9" s="204"/>
      <c r="HI9" s="204"/>
      <c r="HJ9" s="204"/>
      <c r="HK9" s="204"/>
      <c r="HL9" s="204"/>
      <c r="HM9" s="204"/>
      <c r="HN9" s="204"/>
      <c r="HO9" s="204"/>
      <c r="HP9" s="204"/>
      <c r="HQ9" s="204"/>
    </row>
    <row r="10" spans="1:226" ht="13.2">
      <c r="A10" s="168"/>
      <c r="B10" s="168"/>
      <c r="C10" s="168">
        <v>4</v>
      </c>
      <c r="D10" s="178" t="s">
        <v>1028</v>
      </c>
      <c r="E10" s="169"/>
      <c r="F10" s="169"/>
      <c r="G10" s="169"/>
      <c r="H10" s="169" t="s">
        <v>854</v>
      </c>
      <c r="I10" s="169"/>
      <c r="J10" s="169"/>
      <c r="K10" s="169"/>
      <c r="L10" s="169"/>
      <c r="M10" s="146">
        <v>43532</v>
      </c>
      <c r="N10" s="146">
        <v>43537</v>
      </c>
      <c r="O10" s="169"/>
      <c r="P10" s="170">
        <v>0</v>
      </c>
      <c r="Q10" s="170">
        <v>0</v>
      </c>
      <c r="R10" s="171" t="e">
        <f ca="1">IF(M10="","0",(N10-M10+1)-COUNTIFS(INDIRECT(getCalendarRange(O10)),"&gt;=" &amp; M10,INDIRECT(getCalendarRange(O10)),"&lt;=" &amp; N10))</f>
        <v>#NAME?</v>
      </c>
      <c r="S10" s="171" t="e">
        <f ca="1">IF(M10&gt;TODAY(),0,IF(N10&lt;TODAY(),R10,(TODAY()-M10+1)-COUNTIFS(INDIRECT(getCalendarRange(O10)),"&gt;=" &amp; M10,INDIRECT(getCalendarRange(O10)),"&lt;=" &amp; TODAY())))</f>
        <v>#NAME?</v>
      </c>
      <c r="T10" s="146"/>
      <c r="U10" s="146"/>
      <c r="V10" s="172"/>
      <c r="W10" s="173" t="str">
        <f ca="1">IF(U10="","0",IF(T10="","0",(U10-T10+1)-COUNTIFS(INDIRECT(getCalendarRange(O10)),"&gt;=" &amp; T10,INDIRECT(getCalendarRange(O10)),"&lt;=" &amp; U10)))</f>
        <v>0</v>
      </c>
      <c r="X10" s="174">
        <v>1</v>
      </c>
      <c r="Y10" s="211" t="s">
        <v>1168</v>
      </c>
      <c r="Z10" s="175"/>
      <c r="AA10" s="176">
        <v>1</v>
      </c>
      <c r="AB10" s="176">
        <v>1</v>
      </c>
      <c r="AC10" s="221"/>
      <c r="AD10" s="205"/>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204"/>
      <c r="BJ10" s="204"/>
      <c r="BK10" s="204"/>
      <c r="BL10" s="204"/>
      <c r="BM10" s="20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t="str">
        <f>H10 &amp; " " &amp; IF(M10="","",TEXT(M10,"M/D-")) &amp; IF(N10="","",TEXT(N10,"M/D")) &amp; " "</f>
        <v xml:space="preserve">착수보고(Kick off) 3/8-3/13 </v>
      </c>
      <c r="CN10" s="194" t="str">
        <f>TEXT(AB10,"#0.00%") &amp; " "</f>
        <v xml:space="preserve">100.00% </v>
      </c>
      <c r="CO10" s="204"/>
      <c r="CP10" s="204"/>
      <c r="CQ10" s="204"/>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c r="HQ10" s="204"/>
    </row>
    <row r="11" spans="1:226">
      <c r="A11" s="168"/>
      <c r="B11" s="168" t="s">
        <v>1069</v>
      </c>
      <c r="C11" s="168">
        <v>2</v>
      </c>
      <c r="D11" s="178" t="s">
        <v>1073</v>
      </c>
      <c r="E11" s="169"/>
      <c r="F11" s="169" t="s">
        <v>857</v>
      </c>
      <c r="G11" s="169"/>
      <c r="H11" s="169"/>
      <c r="I11" s="169"/>
      <c r="J11" s="169"/>
      <c r="K11" s="169"/>
      <c r="L11" s="169"/>
      <c r="M11" s="146">
        <v>43537</v>
      </c>
      <c r="N11" s="146">
        <v>43617</v>
      </c>
      <c r="O11" s="169"/>
      <c r="P11" s="170">
        <v>23</v>
      </c>
      <c r="Q11" s="170">
        <v>4</v>
      </c>
      <c r="R11" s="171" t="e">
        <f ca="1">IF(M11="","0",(N11-M11+1)-COUNTIFS(INDIRECT(getCalendarRange(O11)),"&gt;=" &amp; M11,INDIRECT(getCalendarRange(O11)),"&lt;=" &amp; N11))</f>
        <v>#NAME?</v>
      </c>
      <c r="S11" s="171" t="e">
        <f ca="1">IF(M11&gt;TODAY(),0,IF(N11&lt;TODAY(),R11,(TODAY()-M11+1)-COUNTIFS(INDIRECT(getCalendarRange(O11)),"&gt;=" &amp; M11,INDIRECT(getCalendarRange(O11)),"&lt;=" &amp; TODAY())))</f>
        <v>#NAME?</v>
      </c>
      <c r="T11" s="146"/>
      <c r="U11" s="146"/>
      <c r="V11" s="172">
        <v>0</v>
      </c>
      <c r="W11" s="173" t="str">
        <f ca="1">IF(U11="","0",IF(T11="","0",(U11-T11+1)-COUNTIFS(INDIRECT(getCalendarRange(O11)),"&gt;=" &amp; T11,INDIRECT(getCalendarRange(O11)),"&lt;=" &amp; U11)))</f>
        <v>0</v>
      </c>
      <c r="X11" s="174">
        <v>1</v>
      </c>
      <c r="Y11" s="169"/>
      <c r="Z11" s="175"/>
      <c r="AA11" s="176">
        <v>8.3913043478261007E-2</v>
      </c>
      <c r="AB11" s="177">
        <v>0.82608695652173914</v>
      </c>
      <c r="AD11" s="205"/>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t="str">
        <f>F11 &amp; " " &amp; IF(M11="","",TEXT(M11,"M/D-")) &amp; IF(N11="","",TEXT(N11,"M/D")) &amp; " "</f>
        <v xml:space="preserve">프로젝트 수행 및 통제 3/13-6/1 </v>
      </c>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194" t="str">
        <f>TEXT(AB11,"#0.00%") &amp; " "</f>
        <v xml:space="preserve">82.61% </v>
      </c>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row>
    <row r="12" spans="1:226" ht="13.2">
      <c r="A12" s="168"/>
      <c r="B12" s="168"/>
      <c r="C12" s="168">
        <v>3</v>
      </c>
      <c r="D12" s="178" t="s">
        <v>1029</v>
      </c>
      <c r="E12" s="169"/>
      <c r="F12" s="169"/>
      <c r="G12" s="210" t="s">
        <v>1164</v>
      </c>
      <c r="H12" s="169"/>
      <c r="I12" s="169"/>
      <c r="J12" s="169"/>
      <c r="K12" s="169"/>
      <c r="L12" s="169"/>
      <c r="M12" s="146">
        <v>43600</v>
      </c>
      <c r="N12" s="146">
        <v>43600</v>
      </c>
      <c r="O12" s="169"/>
      <c r="P12" s="170">
        <v>4</v>
      </c>
      <c r="Q12" s="170">
        <v>4</v>
      </c>
      <c r="R12" s="171" t="e">
        <f ca="1">IF(M12="","0",(N12-M12+1)-COUNTIFS(INDIRECT(getCalendarRange(O12)),"&gt;=" &amp; M12,INDIRECT(getCalendarRange(O12)),"&lt;=" &amp; N12))</f>
        <v>#NAME?</v>
      </c>
      <c r="S12" s="171">
        <f ca="1">IF(M12&gt;TODAY(),0,IF(N12&lt;TODAY(),R12,(TODAY()-M12+1)-COUNTIFS(INDIRECT(getCalendarRange(O12)),"&gt;=" &amp; M12,INDIRECT(getCalendarRange(O12)),"&lt;=" &amp; TODAY())))</f>
        <v>0</v>
      </c>
      <c r="T12" s="192"/>
      <c r="U12" s="192"/>
      <c r="V12" s="172"/>
      <c r="W12" s="173" t="str">
        <f ca="1">IF(U12="","0",IF(T12="","0",(U12-T12+1)-COUNTIFS(INDIRECT(getCalendarRange(O12)),"&gt;=" &amp; T12,INDIRECT(getCalendarRange(O12)),"&lt;=" &amp; U12)))</f>
        <v>0</v>
      </c>
      <c r="X12" s="174">
        <v>1</v>
      </c>
      <c r="Y12" s="211" t="s">
        <v>1173</v>
      </c>
      <c r="Z12" s="175" t="s">
        <v>1166</v>
      </c>
      <c r="AA12" s="176">
        <v>1</v>
      </c>
      <c r="AB12" s="177">
        <v>0</v>
      </c>
      <c r="AD12" s="205"/>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204"/>
      <c r="CC12" s="204"/>
      <c r="CD12" s="204"/>
      <c r="CE12" s="204"/>
      <c r="CF12" s="204"/>
      <c r="CG12" s="204"/>
      <c r="CH12" s="204"/>
      <c r="CI12" s="204"/>
      <c r="CJ12" s="204"/>
      <c r="CK12" s="204"/>
      <c r="CL12" s="204"/>
      <c r="CM12" s="204"/>
      <c r="CN12" s="204"/>
      <c r="CO12" s="204"/>
      <c r="CP12" s="204" t="str">
        <f>G12 &amp; " " &amp; IF(M12="","",TEXT(M12,"M/D-")) &amp; IF(N12="","",TEXT(N12,"M/D")) &amp; " "</f>
        <v xml:space="preserve">프로토 타입 발표 5/15-5/15 </v>
      </c>
      <c r="CQ12" s="194" t="str">
        <f>TEXT(AB12,"#0.00%") &amp; " "</f>
        <v xml:space="preserve">0.00% </v>
      </c>
      <c r="CR12" s="204"/>
      <c r="CS12" s="204"/>
      <c r="CT12" s="204"/>
      <c r="CU12" s="204"/>
      <c r="CV12" s="204"/>
      <c r="CW12" s="204"/>
      <c r="CX12" s="204"/>
      <c r="CY12" s="204"/>
      <c r="CZ12" s="204"/>
      <c r="DA12" s="204"/>
      <c r="DB12" s="204"/>
      <c r="DC12" s="204"/>
      <c r="DD12" s="204"/>
      <c r="DE12" s="204"/>
      <c r="DF12" s="204"/>
      <c r="DG12" s="204"/>
      <c r="DH12" s="204"/>
      <c r="DI12" s="204"/>
      <c r="DJ12" s="204"/>
      <c r="DK12" s="204"/>
      <c r="DL12" s="204"/>
      <c r="DM12" s="204"/>
      <c r="DN12" s="204"/>
      <c r="DO12" s="204"/>
      <c r="DP12" s="204"/>
      <c r="DQ12" s="204"/>
      <c r="DR12" s="204"/>
      <c r="DS12" s="204"/>
      <c r="DT12" s="204"/>
      <c r="DU12" s="204"/>
      <c r="DV12" s="204"/>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4"/>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c r="GC12" s="204"/>
      <c r="GD12" s="204"/>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c r="HQ12" s="204"/>
    </row>
    <row r="13" spans="1:226" ht="13.2">
      <c r="A13" s="168"/>
      <c r="B13" s="168"/>
      <c r="C13" s="168">
        <v>3</v>
      </c>
      <c r="D13" s="178" t="s">
        <v>1030</v>
      </c>
      <c r="E13" s="169"/>
      <c r="F13" s="169"/>
      <c r="G13" s="211" t="s">
        <v>1165</v>
      </c>
      <c r="H13" s="169"/>
      <c r="I13" s="169"/>
      <c r="J13" s="169"/>
      <c r="K13" s="169"/>
      <c r="L13" s="169"/>
      <c r="M13" s="146">
        <v>43617</v>
      </c>
      <c r="N13" s="146">
        <v>43617</v>
      </c>
      <c r="O13" s="169"/>
      <c r="P13" s="170">
        <v>0</v>
      </c>
      <c r="Q13" s="170">
        <v>0</v>
      </c>
      <c r="R13" s="171" t="e">
        <f ca="1">IF(M13="","0",(N13-M13+1)-COUNTIFS(INDIRECT(getCalendarRange(O13)),"&gt;=" &amp; M13,INDIRECT(getCalendarRange(O13)),"&lt;=" &amp; N13))</f>
        <v>#NAME?</v>
      </c>
      <c r="S13" s="171">
        <f ca="1">IF(M13&gt;TODAY(),0,IF(N13&lt;TODAY(),R13,(TODAY()-M13+1)-COUNTIFS(INDIRECT(getCalendarRange(O13)),"&gt;=" &amp; M13,INDIRECT(getCalendarRange(O13)),"&lt;=" &amp; TODAY())))</f>
        <v>0</v>
      </c>
      <c r="T13" s="146"/>
      <c r="U13" s="146"/>
      <c r="V13" s="172"/>
      <c r="W13" s="173" t="str">
        <f ca="1">IF(U13="","0",IF(T13="","0",(U13-T13+1)-COUNTIFS(INDIRECT(getCalendarRange(O13)),"&gt;=" &amp; T13,INDIRECT(getCalendarRange(O13)),"&lt;=" &amp; U13)))</f>
        <v>0</v>
      </c>
      <c r="X13" s="174">
        <v>1</v>
      </c>
      <c r="Y13" s="211" t="s">
        <v>1168</v>
      </c>
      <c r="Z13" s="175" t="s">
        <v>1167</v>
      </c>
      <c r="AA13" s="176">
        <v>0</v>
      </c>
      <c r="AB13" s="177">
        <v>0</v>
      </c>
      <c r="AD13" s="205"/>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4"/>
      <c r="BN13" s="204"/>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4"/>
      <c r="DV13" s="204" t="str">
        <f>G13 &amp; " " &amp; IF(M13="","",TEXT(M13,"M/D-")) &amp; IF(N13="","",TEXT(N13,"M/D")) &amp; " "</f>
        <v xml:space="preserve">최종 결과물 발표 6/1-6/1 </v>
      </c>
      <c r="DW13" s="194" t="str">
        <f>TEXT(AB13,"#0.00%") &amp; " "</f>
        <v xml:space="preserve">0.00% </v>
      </c>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4"/>
      <c r="GD13" s="204"/>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c r="HQ13" s="204"/>
    </row>
    <row r="14" spans="1:226">
      <c r="A14" s="168"/>
      <c r="B14" s="168" t="s">
        <v>1069</v>
      </c>
      <c r="C14" s="168">
        <v>2</v>
      </c>
      <c r="D14" s="178" t="s">
        <v>1074</v>
      </c>
      <c r="E14" s="169"/>
      <c r="F14" s="169" t="s">
        <v>955</v>
      </c>
      <c r="G14" s="169"/>
      <c r="H14" s="169"/>
      <c r="I14" s="169"/>
      <c r="J14" s="169"/>
      <c r="K14" s="169"/>
      <c r="L14" s="169"/>
      <c r="M14" s="146">
        <v>43617</v>
      </c>
      <c r="N14" s="146">
        <v>43645</v>
      </c>
      <c r="O14" s="169"/>
      <c r="P14" s="170">
        <v>17</v>
      </c>
      <c r="Q14" s="170">
        <v>0</v>
      </c>
      <c r="R14" s="171" t="e">
        <f ca="1">IF(M14="","0",(N14-M14+1)-COUNTIFS(INDIRECT(getCalendarRange(O14)),"&gt;=" &amp; M14,INDIRECT(getCalendarRange(O14)),"&lt;=" &amp; N14))</f>
        <v>#NAME?</v>
      </c>
      <c r="S14" s="171">
        <f ca="1">IF(M14&gt;TODAY(),0,IF(N14&lt;TODAY(),R14,(TODAY()-M14+1)-COUNTIFS(INDIRECT(getCalendarRange(O14)),"&gt;=" &amp; M14,INDIRECT(getCalendarRange(O14)),"&lt;=" &amp; TODAY())))</f>
        <v>0</v>
      </c>
      <c r="T14" s="146"/>
      <c r="U14" s="146"/>
      <c r="V14" s="172">
        <v>0</v>
      </c>
      <c r="W14" s="173" t="str">
        <f ca="1">IF(U14="","0",IF(T14="","0",(U14-T14+1)-COUNTIFS(INDIRECT(getCalendarRange(O14)),"&gt;=" &amp; T14,INDIRECT(getCalendarRange(O14)),"&lt;=" &amp; U14)))</f>
        <v>0</v>
      </c>
      <c r="X14" s="174">
        <v>1</v>
      </c>
      <c r="Y14" s="169"/>
      <c r="Z14" s="175"/>
      <c r="AA14" s="176">
        <v>0</v>
      </c>
      <c r="AB14" s="177">
        <v>0</v>
      </c>
      <c r="AD14" s="205"/>
      <c r="AE14" s="20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c r="GC14" s="204"/>
      <c r="GD14" s="204"/>
      <c r="GE14" s="204"/>
      <c r="GF14" s="204"/>
      <c r="GG14" s="204"/>
      <c r="GH14" s="204"/>
      <c r="GI14" s="204"/>
      <c r="GJ14" s="204"/>
      <c r="GK14" s="204"/>
      <c r="GL14" s="204"/>
      <c r="GM14" s="204" t="str">
        <f>F14 &amp; " " &amp; IF(M14="","",TEXT(M14,"M/D-")) &amp; IF(N14="","",TEXT(N14,"M/D")) &amp; " "</f>
        <v xml:space="preserve">프로젝트 종료 6/1-6/29 </v>
      </c>
      <c r="GN14" s="194" t="str">
        <f>TEXT(AB14,"#0.00%") &amp; " "</f>
        <v xml:space="preserve">0.00% </v>
      </c>
      <c r="GO14" s="204"/>
      <c r="GP14" s="204"/>
      <c r="GQ14" s="204"/>
      <c r="GR14" s="204"/>
      <c r="GS14" s="204"/>
      <c r="GT14" s="204"/>
      <c r="GU14" s="204"/>
      <c r="GV14" s="204"/>
      <c r="GW14" s="204"/>
      <c r="GX14" s="204"/>
      <c r="GY14" s="204"/>
      <c r="GZ14" s="204"/>
      <c r="HA14" s="204"/>
      <c r="HB14" s="204"/>
      <c r="HC14" s="204"/>
      <c r="HD14" s="204"/>
      <c r="HE14" s="204"/>
      <c r="HF14" s="204"/>
      <c r="HG14" s="204"/>
      <c r="HH14" s="204"/>
      <c r="HI14" s="204"/>
      <c r="HJ14" s="204"/>
      <c r="HK14" s="204"/>
      <c r="HL14" s="204"/>
      <c r="HM14" s="204"/>
      <c r="HN14" s="204"/>
      <c r="HO14" s="204"/>
      <c r="HP14" s="204"/>
      <c r="HQ14" s="204"/>
    </row>
    <row r="15" spans="1:226" ht="13.2">
      <c r="A15" s="168"/>
      <c r="B15" s="168"/>
      <c r="C15" s="168">
        <v>3</v>
      </c>
      <c r="D15" s="178" t="s">
        <v>1033</v>
      </c>
      <c r="E15" s="169"/>
      <c r="F15" s="169"/>
      <c r="G15" s="169" t="s">
        <v>956</v>
      </c>
      <c r="H15" s="169"/>
      <c r="I15" s="169"/>
      <c r="J15" s="169"/>
      <c r="K15" s="169"/>
      <c r="L15" s="169"/>
      <c r="M15" s="146">
        <v>43617</v>
      </c>
      <c r="N15" s="146">
        <v>43617</v>
      </c>
      <c r="O15" s="169"/>
      <c r="P15" s="170">
        <v>3</v>
      </c>
      <c r="Q15" s="170">
        <v>0</v>
      </c>
      <c r="R15" s="171" t="e">
        <f ca="1">IF(M15="","0",(N15-M15+1)-COUNTIFS(INDIRECT(getCalendarRange(O15)),"&gt;=" &amp; M15,INDIRECT(getCalendarRange(O15)),"&lt;=" &amp; N15))</f>
        <v>#NAME?</v>
      </c>
      <c r="S15" s="171">
        <f ca="1">IF(M15&gt;TODAY(),0,IF(N15&lt;TODAY(),R15,(TODAY()-M15+1)-COUNTIFS(INDIRECT(getCalendarRange(O15)),"&gt;=" &amp; M15,INDIRECT(getCalendarRange(O15)),"&lt;=" &amp; TODAY())))</f>
        <v>0</v>
      </c>
      <c r="T15" s="146"/>
      <c r="U15" s="146"/>
      <c r="V15" s="172"/>
      <c r="W15" s="173" t="str">
        <f ca="1">IF(U15="","0",IF(T15="","0",(U15-T15+1)-COUNTIFS(INDIRECT(getCalendarRange(O15)),"&gt;=" &amp; T15,INDIRECT(getCalendarRange(O15)),"&lt;=" &amp; U15)))</f>
        <v>0</v>
      </c>
      <c r="X15" s="174">
        <v>1</v>
      </c>
      <c r="Y15" s="214" t="s">
        <v>1168</v>
      </c>
      <c r="Z15" s="175"/>
      <c r="AA15" s="176">
        <v>0</v>
      </c>
      <c r="AB15" s="177">
        <v>0</v>
      </c>
      <c r="AD15" s="205"/>
      <c r="AE15" s="204"/>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04"/>
      <c r="BD15" s="204"/>
      <c r="BE15" s="204"/>
      <c r="BF15" s="204"/>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4"/>
      <c r="CY15" s="204"/>
      <c r="CZ15" s="204"/>
      <c r="DA15" s="204"/>
      <c r="DB15" s="204"/>
      <c r="DC15" s="204"/>
      <c r="DD15" s="204"/>
      <c r="DE15" s="204"/>
      <c r="DF15" s="204"/>
      <c r="DG15" s="204"/>
      <c r="DH15" s="204"/>
      <c r="DI15" s="204"/>
      <c r="DJ15" s="204"/>
      <c r="DK15" s="204"/>
      <c r="DL15" s="204"/>
      <c r="DM15" s="204"/>
      <c r="DN15" s="204"/>
      <c r="DO15" s="204"/>
      <c r="DP15" s="204"/>
      <c r="DQ15" s="204"/>
      <c r="DR15" s="204"/>
      <c r="DS15" s="204"/>
      <c r="DT15" s="204"/>
      <c r="DU15" s="204"/>
      <c r="DV15" s="204"/>
      <c r="DW15" s="204"/>
      <c r="DX15" s="204"/>
      <c r="DY15" s="204"/>
      <c r="DZ15" s="204"/>
      <c r="EA15" s="204"/>
      <c r="EB15" s="204"/>
      <c r="EC15" s="204"/>
      <c r="ED15" s="204"/>
      <c r="EE15" s="204"/>
      <c r="EF15" s="204"/>
      <c r="EG15" s="204"/>
      <c r="EH15" s="204"/>
      <c r="EI15" s="204"/>
      <c r="EJ15" s="204"/>
      <c r="EK15" s="204"/>
      <c r="EL15" s="204"/>
      <c r="EM15" s="204"/>
      <c r="EN15" s="204"/>
      <c r="EO15" s="204"/>
      <c r="EP15" s="204"/>
      <c r="EQ15" s="204"/>
      <c r="ER15" s="204"/>
      <c r="ES15" s="204"/>
      <c r="ET15" s="204"/>
      <c r="EU15" s="204"/>
      <c r="EV15" s="204"/>
      <c r="EW15" s="204"/>
      <c r="EX15" s="204"/>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c r="GC15" s="204"/>
      <c r="GD15" s="204"/>
      <c r="GE15" s="204"/>
      <c r="GF15" s="204"/>
      <c r="GG15" s="204"/>
      <c r="GH15" s="204"/>
      <c r="GI15" s="204"/>
      <c r="GJ15" s="204"/>
      <c r="GK15" s="204"/>
      <c r="GL15" s="204"/>
      <c r="GM15" s="204" t="str">
        <f>G15 &amp; " " &amp; IF(M15="","",TEXT(M15,"M/D-")) &amp; IF(N15="","",TEXT(N15,"M/D")) &amp; " "</f>
        <v xml:space="preserve">종료계획수립 6/1-6/1 </v>
      </c>
      <c r="GN15" s="194" t="str">
        <f>TEXT(AB15,"#0.00%") &amp; " "</f>
        <v xml:space="preserve">0.00% </v>
      </c>
      <c r="GO15" s="204"/>
      <c r="GP15" s="204"/>
      <c r="GQ15" s="204"/>
      <c r="GR15" s="204"/>
      <c r="GS15" s="204"/>
      <c r="GT15" s="204"/>
      <c r="GU15" s="204"/>
      <c r="GV15" s="204"/>
      <c r="GW15" s="204"/>
      <c r="GX15" s="204"/>
      <c r="GY15" s="204"/>
      <c r="GZ15" s="204"/>
      <c r="HA15" s="204"/>
      <c r="HB15" s="204"/>
      <c r="HC15" s="204"/>
      <c r="HD15" s="204"/>
      <c r="HE15" s="204"/>
      <c r="HF15" s="204"/>
      <c r="HG15" s="204"/>
      <c r="HH15" s="204"/>
      <c r="HI15" s="204"/>
      <c r="HJ15" s="204"/>
      <c r="HK15" s="204"/>
      <c r="HL15" s="204"/>
      <c r="HM15" s="204"/>
      <c r="HN15" s="204"/>
      <c r="HO15" s="204"/>
      <c r="HP15" s="204"/>
      <c r="HQ15" s="204"/>
    </row>
    <row r="16" spans="1:226" ht="13.2">
      <c r="A16" s="168"/>
      <c r="B16" s="168"/>
      <c r="C16" s="168">
        <v>3</v>
      </c>
      <c r="D16" s="178" t="s">
        <v>1181</v>
      </c>
      <c r="E16" s="169"/>
      <c r="F16" s="169"/>
      <c r="G16" s="169" t="s">
        <v>958</v>
      </c>
      <c r="H16" s="169"/>
      <c r="I16" s="169"/>
      <c r="J16" s="169"/>
      <c r="K16" s="169"/>
      <c r="L16" s="169"/>
      <c r="M16" s="146">
        <v>43645</v>
      </c>
      <c r="N16" s="146">
        <v>43645</v>
      </c>
      <c r="O16" s="169"/>
      <c r="P16" s="170">
        <v>1</v>
      </c>
      <c r="Q16" s="170">
        <v>0</v>
      </c>
      <c r="R16" s="171" t="e">
        <f ca="1">IF(M16="","0",(N16-M16+1)-COUNTIFS(INDIRECT(getCalendarRange(O16)),"&gt;=" &amp; M16,INDIRECT(getCalendarRange(O16)),"&lt;=" &amp; N16))</f>
        <v>#NAME?</v>
      </c>
      <c r="S16" s="171">
        <f ca="1">IF(M16&gt;TODAY(),0,IF(N16&lt;TODAY(),R16,(TODAY()-M16+1)-COUNTIFS(INDIRECT(getCalendarRange(O16)),"&gt;=" &amp; M16,INDIRECT(getCalendarRange(O16)),"&lt;=" &amp; TODAY())))</f>
        <v>0</v>
      </c>
      <c r="T16" s="146"/>
      <c r="U16" s="146"/>
      <c r="V16" s="172"/>
      <c r="W16" s="173" t="str">
        <f ca="1">IF(U16="","0",IF(T16="","0",(U16-T16+1)-COUNTIFS(INDIRECT(getCalendarRange(O16)),"&gt;=" &amp; T16,INDIRECT(getCalendarRange(O16)),"&lt;=" &amp; U16)))</f>
        <v>0</v>
      </c>
      <c r="X16" s="174">
        <v>1</v>
      </c>
      <c r="Y16" s="211" t="s">
        <v>1168</v>
      </c>
      <c r="Z16" s="175"/>
      <c r="AA16" s="176">
        <v>0</v>
      </c>
      <c r="AB16" s="177">
        <v>0</v>
      </c>
      <c r="AD16" s="205"/>
      <c r="AE16" s="204"/>
      <c r="AF16" s="204"/>
      <c r="AG16" s="204"/>
      <c r="AH16" s="204"/>
      <c r="AI16" s="204"/>
      <c r="AJ16" s="204"/>
      <c r="AK16" s="204"/>
      <c r="AL16" s="204"/>
      <c r="AM16" s="204"/>
      <c r="AN16" s="204"/>
      <c r="AO16" s="204"/>
      <c r="AP16" s="204"/>
      <c r="AQ16" s="204"/>
      <c r="AR16" s="204"/>
      <c r="AS16" s="204"/>
      <c r="AT16" s="204"/>
      <c r="AU16" s="204"/>
      <c r="AV16" s="204"/>
      <c r="AW16" s="204"/>
      <c r="AX16" s="204"/>
      <c r="AY16" s="204"/>
      <c r="AZ16" s="204"/>
      <c r="BA16" s="204"/>
      <c r="BB16" s="204"/>
      <c r="BC16" s="204"/>
      <c r="BD16" s="204"/>
      <c r="BE16" s="204"/>
      <c r="BF16" s="204"/>
      <c r="BG16" s="204"/>
      <c r="BH16" s="204"/>
      <c r="BI16" s="204"/>
      <c r="BJ16" s="204"/>
      <c r="BK16" s="204"/>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04"/>
      <c r="CH16" s="204"/>
      <c r="CI16" s="204"/>
      <c r="CJ16" s="204"/>
      <c r="CK16" s="204"/>
      <c r="CL16" s="204"/>
      <c r="CM16" s="204"/>
      <c r="CN16" s="204"/>
      <c r="CO16" s="204"/>
      <c r="CP16" s="204"/>
      <c r="CQ16" s="204"/>
      <c r="CR16" s="204"/>
      <c r="CS16" s="204"/>
      <c r="CT16" s="204"/>
      <c r="CU16" s="204"/>
      <c r="CV16" s="204"/>
      <c r="CW16" s="204"/>
      <c r="CX16" s="204"/>
      <c r="CY16" s="204"/>
      <c r="CZ16" s="204"/>
      <c r="DA16" s="204"/>
      <c r="DB16" s="204"/>
      <c r="DC16" s="204"/>
      <c r="DD16" s="204"/>
      <c r="DE16" s="204"/>
      <c r="DF16" s="204"/>
      <c r="DG16" s="204"/>
      <c r="DH16" s="204"/>
      <c r="DI16" s="204"/>
      <c r="DJ16" s="204"/>
      <c r="DK16" s="204"/>
      <c r="DL16" s="204"/>
      <c r="DM16" s="204"/>
      <c r="DN16" s="204"/>
      <c r="DO16" s="204"/>
      <c r="DP16" s="204"/>
      <c r="DQ16" s="204"/>
      <c r="DR16" s="204"/>
      <c r="DS16" s="204"/>
      <c r="DT16" s="204"/>
      <c r="DU16" s="204"/>
      <c r="DV16" s="204"/>
      <c r="DW16" s="204"/>
      <c r="DX16" s="204"/>
      <c r="DY16" s="204"/>
      <c r="DZ16" s="204"/>
      <c r="EA16" s="204"/>
      <c r="EB16" s="204"/>
      <c r="EC16" s="204"/>
      <c r="ED16" s="204"/>
      <c r="EE16" s="204"/>
      <c r="EF16" s="204"/>
      <c r="EG16" s="204"/>
      <c r="EH16" s="204"/>
      <c r="EI16" s="204"/>
      <c r="EJ16" s="204"/>
      <c r="EK16" s="204"/>
      <c r="EL16" s="204"/>
      <c r="EM16" s="204"/>
      <c r="EN16" s="204"/>
      <c r="EO16" s="204"/>
      <c r="EP16" s="204"/>
      <c r="EQ16" s="204"/>
      <c r="ER16" s="204"/>
      <c r="ES16" s="204"/>
      <c r="ET16" s="204"/>
      <c r="EU16" s="204"/>
      <c r="EV16" s="204"/>
      <c r="EW16" s="204"/>
      <c r="EX16" s="204"/>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c r="GC16" s="204"/>
      <c r="GD16" s="204"/>
      <c r="GE16" s="204"/>
      <c r="GF16" s="204"/>
      <c r="GG16" s="204"/>
      <c r="GH16" s="204"/>
      <c r="GI16" s="204"/>
      <c r="GJ16" s="204"/>
      <c r="GK16" s="204"/>
      <c r="GL16" s="204"/>
      <c r="GM16" s="204"/>
      <c r="GN16" s="204"/>
      <c r="GO16" s="204"/>
      <c r="GP16" s="204"/>
      <c r="GQ16" s="204"/>
      <c r="GR16" s="204"/>
      <c r="GS16" s="204"/>
      <c r="GT16" s="204"/>
      <c r="GU16" s="204"/>
      <c r="GV16" s="204"/>
      <c r="GW16" s="204"/>
      <c r="GX16" s="204"/>
      <c r="GY16" s="204"/>
      <c r="GZ16" s="204"/>
      <c r="HA16" s="204"/>
      <c r="HB16" s="204"/>
      <c r="HC16" s="204"/>
      <c r="HD16" s="204"/>
      <c r="HE16" s="204"/>
      <c r="HF16" s="204"/>
      <c r="HG16" s="204"/>
      <c r="HH16" s="204"/>
      <c r="HI16" s="204"/>
      <c r="HJ16" s="204"/>
      <c r="HK16" s="204"/>
      <c r="HL16" s="204" t="str">
        <f>G16 &amp; " " &amp; IF(M16="","",TEXT(M16,"M/D-")) &amp; IF(N16="","",TEXT(N16,"M/D")) &amp; " "</f>
        <v xml:space="preserve">종료보고 6/29-6/29 </v>
      </c>
      <c r="HM16" s="194" t="str">
        <f>TEXT(AB16,"#0.00%") &amp; " "</f>
        <v xml:space="preserve">0.00% </v>
      </c>
      <c r="HN16" s="204"/>
      <c r="HO16" s="204"/>
      <c r="HP16" s="204"/>
      <c r="HQ16" s="204"/>
    </row>
    <row r="17" spans="1:225" ht="13.2">
      <c r="A17" s="168"/>
      <c r="B17" s="168"/>
      <c r="C17" s="168">
        <v>3</v>
      </c>
      <c r="D17" s="178" t="s">
        <v>1182</v>
      </c>
      <c r="E17" s="169"/>
      <c r="F17" s="169"/>
      <c r="G17" s="169" t="s">
        <v>959</v>
      </c>
      <c r="H17" s="169"/>
      <c r="I17" s="169"/>
      <c r="J17" s="169"/>
      <c r="K17" s="169"/>
      <c r="L17" s="169"/>
      <c r="M17" s="146">
        <v>43706</v>
      </c>
      <c r="N17" s="146">
        <v>43706</v>
      </c>
      <c r="O17" s="169"/>
      <c r="P17" s="170">
        <v>1</v>
      </c>
      <c r="Q17" s="170">
        <v>0</v>
      </c>
      <c r="R17" s="171" t="e">
        <f ca="1">IF(M17="","0",(N17-M17+1)-COUNTIFS(INDIRECT(getCalendarRange(O17)),"&gt;=" &amp; M17,INDIRECT(getCalendarRange(O17)),"&lt;=" &amp; N17))</f>
        <v>#NAME?</v>
      </c>
      <c r="S17" s="171">
        <f ca="1">IF(M17&gt;TODAY(),0,IF(N17&lt;TODAY(),R17,(TODAY()-M17+1)-COUNTIFS(INDIRECT(getCalendarRange(O17)),"&gt;=" &amp; M17,INDIRECT(getCalendarRange(O17)),"&lt;=" &amp; TODAY())))</f>
        <v>0</v>
      </c>
      <c r="T17" s="146"/>
      <c r="U17" s="146"/>
      <c r="V17" s="172"/>
      <c r="W17" s="173" t="str">
        <f ca="1">IF(U17="","0",IF(T17="","0",(U17-T17+1)-COUNTIFS(INDIRECT(getCalendarRange(O17)),"&gt;=" &amp; T17,INDIRECT(getCalendarRange(O17)),"&lt;=" &amp; U17)))</f>
        <v>0</v>
      </c>
      <c r="X17" s="174">
        <v>1</v>
      </c>
      <c r="Y17" s="212" t="s">
        <v>1171</v>
      </c>
      <c r="Z17" s="175"/>
      <c r="AA17" s="176">
        <v>0</v>
      </c>
      <c r="AB17" s="177">
        <v>0</v>
      </c>
      <c r="AD17" s="205"/>
      <c r="AE17" s="204"/>
      <c r="AF17" s="204"/>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4"/>
      <c r="BF17" s="204"/>
      <c r="BG17" s="204"/>
      <c r="BH17" s="204"/>
      <c r="BI17" s="204"/>
      <c r="BJ17" s="204"/>
      <c r="BK17" s="204"/>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4"/>
      <c r="CY17" s="204"/>
      <c r="CZ17" s="204"/>
      <c r="DA17" s="204"/>
      <c r="DB17" s="204"/>
      <c r="DC17" s="204"/>
      <c r="DD17" s="204"/>
      <c r="DE17" s="204"/>
      <c r="DF17" s="204"/>
      <c r="DG17" s="204"/>
      <c r="DH17" s="204"/>
      <c r="DI17" s="204"/>
      <c r="DJ17" s="204"/>
      <c r="DK17" s="204"/>
      <c r="DL17" s="204"/>
      <c r="DM17" s="204"/>
      <c r="DN17" s="204"/>
      <c r="DO17" s="204"/>
      <c r="DP17" s="204"/>
      <c r="DQ17" s="204"/>
      <c r="DR17" s="204"/>
      <c r="DS17" s="204"/>
      <c r="DT17" s="204"/>
      <c r="DU17" s="204"/>
      <c r="DV17" s="204"/>
      <c r="DW17" s="204"/>
      <c r="DX17" s="204"/>
      <c r="DY17" s="204"/>
      <c r="DZ17" s="204"/>
      <c r="EA17" s="204"/>
      <c r="EB17" s="204"/>
      <c r="EC17" s="204"/>
      <c r="ED17" s="204"/>
      <c r="EE17" s="204"/>
      <c r="EF17" s="204"/>
      <c r="EG17" s="204"/>
      <c r="EH17" s="204"/>
      <c r="EI17" s="204"/>
      <c r="EJ17" s="204"/>
      <c r="EK17" s="204"/>
      <c r="EL17" s="204"/>
      <c r="EM17" s="204"/>
      <c r="EN17" s="204"/>
      <c r="EO17" s="204"/>
      <c r="EP17" s="204"/>
      <c r="EQ17" s="204"/>
      <c r="ER17" s="204"/>
      <c r="ES17" s="204"/>
      <c r="ET17" s="204"/>
      <c r="EU17" s="204"/>
      <c r="EV17" s="204"/>
      <c r="EW17" s="204"/>
      <c r="EX17" s="204"/>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c r="GC17" s="204"/>
      <c r="GD17" s="204"/>
      <c r="GE17" s="204"/>
      <c r="GF17" s="204"/>
      <c r="GG17" s="204"/>
      <c r="GH17" s="204"/>
      <c r="GI17" s="204"/>
      <c r="GJ17" s="204"/>
      <c r="GK17" s="204"/>
      <c r="GL17" s="204"/>
      <c r="GM17" s="204"/>
      <c r="GN17" s="204"/>
      <c r="GO17" s="204"/>
      <c r="GP17" s="204"/>
      <c r="GQ17" s="204"/>
      <c r="GR17" s="204"/>
      <c r="GS17" s="204"/>
      <c r="GT17" s="204"/>
      <c r="GU17" s="204"/>
      <c r="GV17" s="204"/>
      <c r="GW17" s="204"/>
      <c r="GX17" s="204"/>
      <c r="GY17" s="204"/>
      <c r="GZ17" s="204"/>
      <c r="HA17" s="204"/>
      <c r="HB17" s="204"/>
      <c r="HC17" s="204"/>
      <c r="HD17" s="204"/>
      <c r="HE17" s="204"/>
      <c r="HF17" s="204"/>
      <c r="HG17" s="204"/>
      <c r="HH17" s="204"/>
      <c r="HI17" s="204"/>
      <c r="HJ17" s="204"/>
      <c r="HK17" s="204"/>
      <c r="HL17" s="204" t="str">
        <f>G17 &amp; " " &amp; IF(M17="","",TEXT(M17,"M/D-")) &amp; IF(N17="","",TEXT(N17,"M/D")) &amp; " "</f>
        <v xml:space="preserve">검수 및 종료 8/29-8/29 </v>
      </c>
      <c r="HM17" s="194" t="str">
        <f>TEXT(AB17,"#0.00%") &amp; " "</f>
        <v xml:space="preserve">0.00% </v>
      </c>
      <c r="HN17" s="204"/>
      <c r="HO17" s="204"/>
      <c r="HP17" s="204"/>
      <c r="HQ17" s="204"/>
    </row>
    <row r="18" spans="1:225">
      <c r="A18" s="168"/>
      <c r="B18" s="168" t="s">
        <v>1069</v>
      </c>
      <c r="C18" s="168">
        <v>1</v>
      </c>
      <c r="D18" s="178" t="s">
        <v>1075</v>
      </c>
      <c r="E18" s="169" t="s">
        <v>960</v>
      </c>
      <c r="F18" s="169"/>
      <c r="G18" s="169"/>
      <c r="H18" s="169"/>
      <c r="I18" s="169"/>
      <c r="J18" s="169"/>
      <c r="K18" s="169"/>
      <c r="L18" s="169"/>
      <c r="M18" s="146">
        <v>43536</v>
      </c>
      <c r="N18" s="146">
        <v>43617</v>
      </c>
      <c r="O18" s="169"/>
      <c r="P18" s="170">
        <v>251</v>
      </c>
      <c r="Q18" s="170">
        <v>43</v>
      </c>
      <c r="R18" s="171" t="e">
        <f ca="1">IF(M18="","0",(N18-M18+1)-COUNTIFS(INDIRECT(getCalendarRange(O18)),"&gt;=" &amp; M18,INDIRECT(getCalendarRange(O18)),"&lt;=" &amp; N18))</f>
        <v>#NAME?</v>
      </c>
      <c r="S18" s="171" t="e">
        <f ca="1">IF(M18&gt;TODAY(),0,IF(N18&lt;TODAY(),R18,(TODAY()-M18+1)-COUNTIFS(INDIRECT(getCalendarRange(O18)),"&gt;=" &amp; M18,INDIRECT(getCalendarRange(O18)),"&lt;=" &amp; TODAY())))</f>
        <v>#NAME?</v>
      </c>
      <c r="T18" s="146"/>
      <c r="U18" s="146"/>
      <c r="V18" s="172">
        <v>0</v>
      </c>
      <c r="W18" s="173" t="str">
        <f ca="1">IF(U18="","0",IF(T18="","0",(U18-T18+1)-COUNTIFS(INDIRECT(getCalendarRange(O18)),"&gt;=" &amp; T18,INDIRECT(getCalendarRange(O18)),"&lt;=" &amp; U18)))</f>
        <v>0</v>
      </c>
      <c r="X18" s="174">
        <v>1</v>
      </c>
      <c r="Y18" s="169"/>
      <c r="Z18" s="175"/>
      <c r="AA18" s="176">
        <v>0.17131474103585656</v>
      </c>
      <c r="AB18" s="177">
        <v>3.7051792828685259E-2</v>
      </c>
      <c r="AD18" s="205"/>
      <c r="AE18" s="204"/>
      <c r="AF18" s="204"/>
      <c r="AG18" s="204"/>
      <c r="AH18" s="204"/>
      <c r="AI18" s="204"/>
      <c r="AJ18" s="204"/>
      <c r="AK18" s="204"/>
      <c r="AL18" s="204"/>
      <c r="AM18" s="204"/>
      <c r="AN18" s="204"/>
      <c r="AO18" s="204"/>
      <c r="AP18" s="204"/>
      <c r="AQ18" s="204"/>
      <c r="AR18" s="204"/>
      <c r="AS18" s="204"/>
      <c r="AT18" s="204"/>
      <c r="AU18" s="204"/>
      <c r="AV18" s="204"/>
      <c r="AW18" s="204"/>
      <c r="AX18" s="204"/>
      <c r="AY18" s="204"/>
      <c r="AZ18" s="204"/>
      <c r="BA18" s="204"/>
      <c r="BB18" s="204"/>
      <c r="BC18" s="204"/>
      <c r="BD18" s="204"/>
      <c r="BE18" s="204"/>
      <c r="BF18" s="204"/>
      <c r="BG18" s="204"/>
      <c r="BH18" s="204"/>
      <c r="BI18" s="204"/>
      <c r="BJ18" s="204"/>
      <c r="BK18" s="204"/>
      <c r="BL18" s="204"/>
      <c r="BM18" s="204"/>
      <c r="BN18" s="204"/>
      <c r="BO18" s="204"/>
      <c r="BP18" s="204"/>
      <c r="BQ18" s="204"/>
      <c r="BR18" s="204"/>
      <c r="BS18" s="204"/>
      <c r="BT18" s="204"/>
      <c r="BU18" s="204" t="str">
        <f>E18 &amp; " " &amp; IF(M18="","",TEXT(M18,"M/D-")) &amp; IF(N18="","",TEXT(N18,"M/D")) &amp; " "</f>
        <v xml:space="preserve">시스템 개발 3/12-6/1 </v>
      </c>
      <c r="BV18" s="204"/>
      <c r="BW18" s="204"/>
      <c r="BX18" s="204"/>
      <c r="BY18" s="204"/>
      <c r="BZ18" s="204"/>
      <c r="CA18" s="194" t="str">
        <f>TEXT(AB18,"#0.00%") &amp; " "</f>
        <v xml:space="preserve">3.71% </v>
      </c>
      <c r="CB18" s="204"/>
      <c r="CC18" s="204"/>
      <c r="CD18" s="204"/>
      <c r="CE18" s="204"/>
      <c r="CF18" s="204"/>
      <c r="CG18" s="204"/>
      <c r="CH18" s="204"/>
      <c r="CI18" s="204"/>
      <c r="CJ18" s="204"/>
      <c r="CK18" s="204"/>
      <c r="CL18" s="204"/>
      <c r="CM18" s="204"/>
      <c r="CN18" s="204"/>
      <c r="CO18" s="204"/>
      <c r="CP18" s="204"/>
      <c r="CQ18" s="204"/>
      <c r="CR18" s="204"/>
      <c r="CS18" s="204"/>
      <c r="CT18" s="204"/>
      <c r="CU18" s="204"/>
      <c r="CV18" s="204"/>
      <c r="CW18" s="204"/>
      <c r="CX18" s="204"/>
      <c r="CY18" s="204"/>
      <c r="CZ18" s="204"/>
      <c r="DA18" s="204"/>
      <c r="DB18" s="204"/>
      <c r="DC18" s="204"/>
      <c r="DD18" s="204"/>
      <c r="DE18" s="204"/>
      <c r="DF18" s="204"/>
      <c r="DG18" s="204"/>
      <c r="DH18" s="204"/>
      <c r="DI18" s="204"/>
      <c r="DJ18" s="204"/>
      <c r="DK18" s="204"/>
      <c r="DL18" s="204"/>
      <c r="DM18" s="204"/>
      <c r="DN18" s="204"/>
      <c r="DO18" s="204"/>
      <c r="DP18" s="204"/>
      <c r="DQ18" s="204"/>
      <c r="DR18" s="204"/>
      <c r="DS18" s="204"/>
      <c r="DT18" s="204"/>
      <c r="DU18" s="204"/>
      <c r="DV18" s="204"/>
      <c r="DW18" s="204"/>
      <c r="DX18" s="204"/>
      <c r="DY18" s="204"/>
      <c r="DZ18" s="204"/>
      <c r="EA18" s="204"/>
      <c r="EB18" s="204"/>
      <c r="EC18" s="204"/>
      <c r="ED18" s="204"/>
      <c r="EE18" s="204"/>
      <c r="EF18" s="204"/>
      <c r="EG18" s="204"/>
      <c r="EH18" s="204"/>
      <c r="EI18" s="204"/>
      <c r="EJ18" s="204"/>
      <c r="EK18" s="204"/>
      <c r="EL18" s="204"/>
      <c r="EM18" s="204"/>
      <c r="EN18" s="204"/>
      <c r="EO18" s="204"/>
      <c r="EP18" s="204"/>
      <c r="EQ18" s="204"/>
      <c r="ER18" s="204"/>
      <c r="ES18" s="204"/>
      <c r="ET18" s="204"/>
      <c r="EU18" s="204"/>
      <c r="EV18" s="204"/>
      <c r="EW18" s="204"/>
      <c r="EX18" s="204"/>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c r="GC18" s="204"/>
      <c r="GD18" s="204"/>
      <c r="GE18" s="204"/>
      <c r="GF18" s="204"/>
      <c r="GG18" s="204"/>
      <c r="GH18" s="204"/>
      <c r="GI18" s="204"/>
      <c r="GJ18" s="204"/>
      <c r="GK18" s="204"/>
      <c r="GL18" s="204"/>
      <c r="GM18" s="204"/>
      <c r="GN18" s="204"/>
      <c r="GO18" s="204"/>
      <c r="GP18" s="204"/>
      <c r="GQ18" s="204"/>
      <c r="GR18" s="204"/>
      <c r="GS18" s="204"/>
      <c r="GT18" s="204"/>
      <c r="GU18" s="204"/>
      <c r="GV18" s="204"/>
      <c r="GW18" s="204"/>
      <c r="GX18" s="204"/>
      <c r="GY18" s="204"/>
      <c r="GZ18" s="204"/>
      <c r="HA18" s="204"/>
      <c r="HB18" s="204"/>
      <c r="HC18" s="204"/>
      <c r="HD18" s="204"/>
      <c r="HE18" s="204"/>
      <c r="HF18" s="204"/>
      <c r="HG18" s="204"/>
      <c r="HH18" s="204"/>
      <c r="HI18" s="204"/>
      <c r="HJ18" s="204"/>
      <c r="HK18" s="204"/>
      <c r="HL18" s="204"/>
      <c r="HM18" s="204"/>
      <c r="HN18" s="204"/>
      <c r="HO18" s="204"/>
      <c r="HP18" s="204"/>
      <c r="HQ18" s="204"/>
    </row>
    <row r="19" spans="1:225">
      <c r="A19" s="168"/>
      <c r="B19" s="168" t="s">
        <v>1069</v>
      </c>
      <c r="C19" s="168">
        <v>2</v>
      </c>
      <c r="D19" s="178" t="s">
        <v>1076</v>
      </c>
      <c r="E19" s="169"/>
      <c r="F19" s="169" t="s">
        <v>333</v>
      </c>
      <c r="G19" s="169"/>
      <c r="H19" s="169"/>
      <c r="I19" s="169"/>
      <c r="J19" s="169"/>
      <c r="K19" s="169"/>
      <c r="L19" s="169"/>
      <c r="M19" s="146">
        <v>43536</v>
      </c>
      <c r="N19" s="146">
        <v>43537</v>
      </c>
      <c r="O19" s="169"/>
      <c r="P19" s="170">
        <v>34</v>
      </c>
      <c r="Q19" s="170">
        <v>34</v>
      </c>
      <c r="R19" s="171" t="e">
        <f ca="1">IF(M19="","0",(N19-M19+1)-COUNTIFS(INDIRECT(getCalendarRange(O19)),"&gt;=" &amp; M19,INDIRECT(getCalendarRange(O19)),"&lt;=" &amp; N19))</f>
        <v>#NAME?</v>
      </c>
      <c r="S19" s="171" t="e">
        <f ca="1">IF(M19&gt;TODAY(),0,IF(N19&lt;TODAY(),R19,(TODAY()-M19+1)-COUNTIFS(INDIRECT(getCalendarRange(O19)),"&gt;=" &amp; M19,INDIRECT(getCalendarRange(O19)),"&lt;=" &amp; TODAY())))</f>
        <v>#NAME?</v>
      </c>
      <c r="T19" s="146"/>
      <c r="U19" s="146"/>
      <c r="V19" s="172">
        <v>0</v>
      </c>
      <c r="W19" s="173" t="str">
        <f ca="1">IF(U19="","0",IF(T19="","0",(U19-T19+1)-COUNTIFS(INDIRECT(getCalendarRange(O19)),"&gt;=" &amp; T19,INDIRECT(getCalendarRange(O19)),"&lt;=" &amp; U19)))</f>
        <v>0</v>
      </c>
      <c r="X19" s="174">
        <v>1</v>
      </c>
      <c r="Y19" s="169"/>
      <c r="Z19" s="175"/>
      <c r="AA19" s="176">
        <v>1</v>
      </c>
      <c r="AB19" s="177">
        <v>0.27352941176470591</v>
      </c>
      <c r="AD19" s="205"/>
      <c r="AE19" s="204"/>
      <c r="AF19" s="204"/>
      <c r="AG19" s="204"/>
      <c r="AH19" s="204"/>
      <c r="AI19" s="204"/>
      <c r="AJ19" s="204"/>
      <c r="AK19" s="204"/>
      <c r="AL19" s="204"/>
      <c r="AM19" s="204"/>
      <c r="AN19" s="204"/>
      <c r="AO19" s="204"/>
      <c r="AP19" s="204"/>
      <c r="AQ19" s="204"/>
      <c r="AR19" s="204"/>
      <c r="AS19" s="204"/>
      <c r="AT19" s="204"/>
      <c r="AU19" s="204"/>
      <c r="AV19" s="204"/>
      <c r="AW19" s="204"/>
      <c r="AX19" s="204"/>
      <c r="AY19" s="204"/>
      <c r="AZ19" s="204"/>
      <c r="BA19" s="204"/>
      <c r="BB19" s="204"/>
      <c r="BC19" s="204"/>
      <c r="BD19" s="204"/>
      <c r="BE19" s="204"/>
      <c r="BF19" s="204"/>
      <c r="BG19" s="204"/>
      <c r="BH19" s="204"/>
      <c r="BI19" s="204"/>
      <c r="BJ19" s="204"/>
      <c r="BK19" s="204"/>
      <c r="BL19" s="204"/>
      <c r="BM19" s="204"/>
      <c r="BN19" s="204"/>
      <c r="BO19" s="204"/>
      <c r="BP19" s="204"/>
      <c r="BQ19" s="204"/>
      <c r="BR19" s="204"/>
      <c r="BS19" s="204"/>
      <c r="BT19" s="204"/>
      <c r="BU19" s="204" t="str">
        <f>F19 &amp; " " &amp; IF(M19="","",TEXT(M19,"M/D-")) &amp; IF(N19="","",TEXT(N19,"M/D")) &amp; " "</f>
        <v xml:space="preserve">분석 3/12-3/13 </v>
      </c>
      <c r="BV19" s="204"/>
      <c r="BW19" s="204"/>
      <c r="BX19" s="204"/>
      <c r="BY19" s="204"/>
      <c r="BZ19" s="204"/>
      <c r="CA19" s="194" t="str">
        <f>TEXT(AB19,"#0.00%") &amp; " "</f>
        <v xml:space="preserve">27.35% </v>
      </c>
      <c r="CB19" s="204"/>
      <c r="CC19" s="204"/>
      <c r="CD19" s="204"/>
      <c r="CE19" s="204"/>
      <c r="CF19" s="204"/>
      <c r="CG19" s="204"/>
      <c r="CH19" s="204"/>
      <c r="CI19" s="204"/>
      <c r="CJ19" s="204"/>
      <c r="CK19" s="204"/>
      <c r="CL19" s="204"/>
      <c r="CM19" s="204"/>
      <c r="CN19" s="204"/>
      <c r="CO19" s="204"/>
      <c r="CP19" s="204"/>
      <c r="CQ19" s="204"/>
      <c r="CR19" s="204"/>
      <c r="CS19" s="204"/>
      <c r="CT19" s="204"/>
      <c r="CU19" s="204"/>
      <c r="CV19" s="204"/>
      <c r="CW19" s="204"/>
      <c r="CX19" s="204"/>
      <c r="CY19" s="204"/>
      <c r="CZ19" s="204"/>
      <c r="DA19" s="204"/>
      <c r="DB19" s="204"/>
      <c r="DC19" s="204"/>
      <c r="DD19" s="204"/>
      <c r="DE19" s="204"/>
      <c r="DF19" s="204"/>
      <c r="DG19" s="204"/>
      <c r="DH19" s="204"/>
      <c r="DI19" s="204"/>
      <c r="DJ19" s="204"/>
      <c r="DK19" s="204"/>
      <c r="DL19" s="204"/>
      <c r="DM19" s="204"/>
      <c r="DN19" s="204"/>
      <c r="DO19" s="204"/>
      <c r="DP19" s="204"/>
      <c r="DQ19" s="204"/>
      <c r="DR19" s="204"/>
      <c r="DS19" s="204"/>
      <c r="DT19" s="204"/>
      <c r="DU19" s="204"/>
      <c r="DV19" s="204"/>
      <c r="DW19" s="204"/>
      <c r="DX19" s="204"/>
      <c r="DY19" s="204"/>
      <c r="DZ19" s="204"/>
      <c r="EA19" s="204"/>
      <c r="EB19" s="204"/>
      <c r="EC19" s="204"/>
      <c r="ED19" s="204"/>
      <c r="EE19" s="204"/>
      <c r="EF19" s="204"/>
      <c r="EG19" s="204"/>
      <c r="EH19" s="204"/>
      <c r="EI19" s="204"/>
      <c r="EJ19" s="204"/>
      <c r="EK19" s="204"/>
      <c r="EL19" s="204"/>
      <c r="EM19" s="204"/>
      <c r="EN19" s="204"/>
      <c r="EO19" s="204"/>
      <c r="EP19" s="204"/>
      <c r="EQ19" s="204"/>
      <c r="ER19" s="204"/>
      <c r="ES19" s="204"/>
      <c r="ET19" s="204"/>
      <c r="EU19" s="204"/>
      <c r="EV19" s="204"/>
      <c r="EW19" s="204"/>
      <c r="EX19" s="204"/>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c r="GC19" s="204"/>
      <c r="GD19" s="204"/>
      <c r="GE19" s="204"/>
      <c r="GF19" s="204"/>
      <c r="GG19" s="204"/>
      <c r="GH19" s="204"/>
      <c r="GI19" s="204"/>
      <c r="GJ19" s="204"/>
      <c r="GK19" s="204"/>
      <c r="GL19" s="204"/>
      <c r="GM19" s="204"/>
      <c r="GN19" s="204"/>
      <c r="GO19" s="204"/>
      <c r="GP19" s="204"/>
      <c r="GQ19" s="204"/>
      <c r="GR19" s="204"/>
      <c r="GS19" s="204"/>
      <c r="GT19" s="204"/>
      <c r="GU19" s="204"/>
      <c r="GV19" s="204"/>
      <c r="GW19" s="204"/>
      <c r="GX19" s="204"/>
      <c r="GY19" s="204"/>
      <c r="GZ19" s="204"/>
      <c r="HA19" s="204"/>
      <c r="HB19" s="204"/>
      <c r="HC19" s="204"/>
      <c r="HD19" s="204"/>
      <c r="HE19" s="204"/>
      <c r="HF19" s="204"/>
      <c r="HG19" s="204"/>
      <c r="HH19" s="204"/>
      <c r="HI19" s="204"/>
      <c r="HJ19" s="204"/>
      <c r="HK19" s="204"/>
      <c r="HL19" s="204"/>
      <c r="HM19" s="204"/>
      <c r="HN19" s="204"/>
      <c r="HO19" s="204"/>
      <c r="HP19" s="204"/>
      <c r="HQ19" s="204"/>
    </row>
    <row r="20" spans="1:225" ht="13.2">
      <c r="A20" s="168"/>
      <c r="B20" s="168"/>
      <c r="C20" s="168">
        <v>3</v>
      </c>
      <c r="D20" s="178" t="s">
        <v>1037</v>
      </c>
      <c r="E20" s="169"/>
      <c r="F20" s="169"/>
      <c r="G20" s="169" t="s">
        <v>961</v>
      </c>
      <c r="H20" s="169"/>
      <c r="I20" s="169"/>
      <c r="J20" s="169"/>
      <c r="K20" s="169"/>
      <c r="L20" s="169"/>
      <c r="M20" s="146">
        <v>43536</v>
      </c>
      <c r="N20" s="146">
        <v>43537</v>
      </c>
      <c r="O20" s="169"/>
      <c r="P20" s="170">
        <v>14</v>
      </c>
      <c r="Q20" s="170">
        <v>14</v>
      </c>
      <c r="R20" s="171" t="e">
        <f ca="1">IF(M20="","0",(N20-M20+1)-COUNTIFS(INDIRECT(getCalendarRange(O20)),"&gt;=" &amp; M20,INDIRECT(getCalendarRange(O20)),"&lt;=" &amp; N20))</f>
        <v>#NAME?</v>
      </c>
      <c r="S20" s="171" t="e">
        <f ca="1">IF(M20&gt;TODAY(),0,IF(N20&lt;TODAY(),R20,(TODAY()-M20+1)-COUNTIFS(INDIRECT(getCalendarRange(O20)),"&gt;=" &amp; M20,INDIRECT(getCalendarRange(O20)),"&lt;=" &amp; TODAY())))</f>
        <v>#NAME?</v>
      </c>
      <c r="T20" s="146">
        <v>42679</v>
      </c>
      <c r="U20" s="146"/>
      <c r="V20" s="172">
        <v>-42678</v>
      </c>
      <c r="W20" s="173" t="str">
        <f ca="1">IF(U20="","0",IF(T20="","0",(U20-T20+1)-COUNTIFS(INDIRECT(getCalendarRange(O20)),"&gt;=" &amp; T20,INDIRECT(getCalendarRange(O20)),"&lt;=" &amp; U20)))</f>
        <v>0</v>
      </c>
      <c r="X20" s="174">
        <v>1</v>
      </c>
      <c r="Y20" s="211" t="s">
        <v>1174</v>
      </c>
      <c r="Z20" s="175"/>
      <c r="AA20" s="176">
        <v>1</v>
      </c>
      <c r="AB20" s="177">
        <v>0.45</v>
      </c>
      <c r="AD20" s="205"/>
      <c r="AE20" s="204"/>
      <c r="AF20" s="204"/>
      <c r="AG20" s="204"/>
      <c r="AH20" s="204"/>
      <c r="AI20" s="204"/>
      <c r="AJ20" s="204"/>
      <c r="AK20" s="204"/>
      <c r="AL20" s="204"/>
      <c r="AM20" s="204"/>
      <c r="AN20" s="204"/>
      <c r="AO20" s="204"/>
      <c r="AP20" s="204"/>
      <c r="AQ20" s="204"/>
      <c r="AR20" s="204"/>
      <c r="AS20" s="204"/>
      <c r="AT20" s="204"/>
      <c r="AU20" s="204"/>
      <c r="AV20" s="204"/>
      <c r="AW20" s="204"/>
      <c r="AX20" s="204"/>
      <c r="AY20" s="204"/>
      <c r="AZ20" s="204"/>
      <c r="BA20" s="204"/>
      <c r="BB20" s="204"/>
      <c r="BC20" s="204"/>
      <c r="BD20" s="204"/>
      <c r="BE20" s="204"/>
      <c r="BF20" s="204"/>
      <c r="BG20" s="204"/>
      <c r="BH20" s="204"/>
      <c r="BI20" s="204"/>
      <c r="BJ20" s="204"/>
      <c r="BK20" s="204"/>
      <c r="BL20" s="204"/>
      <c r="BM20" s="204"/>
      <c r="BN20" s="204"/>
      <c r="BO20" s="204"/>
      <c r="BP20" s="204"/>
      <c r="BQ20" s="204"/>
      <c r="BR20" s="204"/>
      <c r="BS20" s="204"/>
      <c r="BT20" s="204"/>
      <c r="BU20" s="204" t="str">
        <f>G20 &amp; " " &amp; IF(M20="","",TEXT(M20,"M/D-")) &amp; IF(N20="","",TEXT(N20,"M/D")) &amp; " "</f>
        <v xml:space="preserve">요구사항정의 3/12-3/13 </v>
      </c>
      <c r="BV20" s="204"/>
      <c r="BW20" s="204"/>
      <c r="BX20" s="204"/>
      <c r="BY20" s="204"/>
      <c r="BZ20" s="204"/>
      <c r="CA20" s="204"/>
      <c r="CB20" s="204"/>
      <c r="CC20" s="204"/>
      <c r="CD20" s="204"/>
      <c r="CE20" s="194" t="str">
        <f>TEXT(AB20,"#0.00%") &amp; " "</f>
        <v xml:space="preserve">45.00% </v>
      </c>
      <c r="CF20" s="204"/>
      <c r="CG20" s="204"/>
      <c r="CH20" s="204"/>
      <c r="CI20" s="204"/>
      <c r="CJ20" s="204"/>
      <c r="CK20" s="204"/>
      <c r="CL20" s="204"/>
      <c r="CM20" s="204"/>
      <c r="CN20" s="204"/>
      <c r="CO20" s="204"/>
      <c r="CP20" s="204"/>
      <c r="CQ20" s="204"/>
      <c r="CR20" s="204"/>
      <c r="CS20" s="204"/>
      <c r="CT20" s="204"/>
      <c r="CU20" s="204"/>
      <c r="CV20" s="204"/>
      <c r="CW20" s="204"/>
      <c r="CX20" s="204"/>
      <c r="CY20" s="204"/>
      <c r="CZ20" s="204"/>
      <c r="DA20" s="204"/>
      <c r="DB20" s="204"/>
      <c r="DC20" s="204"/>
      <c r="DD20" s="204"/>
      <c r="DE20" s="204"/>
      <c r="DF20" s="204"/>
      <c r="DG20" s="204"/>
      <c r="DH20" s="204"/>
      <c r="DI20" s="204"/>
      <c r="DJ20" s="204"/>
      <c r="DK20" s="204"/>
      <c r="DL20" s="204"/>
      <c r="DM20" s="204"/>
      <c r="DN20" s="204"/>
      <c r="DO20" s="204"/>
      <c r="DP20" s="204"/>
      <c r="DQ20" s="204"/>
      <c r="DR20" s="204"/>
      <c r="DS20" s="204"/>
      <c r="DT20" s="204"/>
      <c r="DU20" s="204"/>
      <c r="DV20" s="204"/>
      <c r="DW20" s="204"/>
      <c r="DX20" s="204"/>
      <c r="DY20" s="204"/>
      <c r="DZ20" s="204"/>
      <c r="EA20" s="204"/>
      <c r="EB20" s="204"/>
      <c r="EC20" s="204"/>
      <c r="ED20" s="204"/>
      <c r="EE20" s="204"/>
      <c r="EF20" s="204"/>
      <c r="EG20" s="204"/>
      <c r="EH20" s="204"/>
      <c r="EI20" s="204"/>
      <c r="EJ20" s="204"/>
      <c r="EK20" s="204"/>
      <c r="EL20" s="204"/>
      <c r="EM20" s="204"/>
      <c r="EN20" s="204"/>
      <c r="EO20" s="204"/>
      <c r="EP20" s="204"/>
      <c r="EQ20" s="204"/>
      <c r="ER20" s="204"/>
      <c r="ES20" s="204"/>
      <c r="ET20" s="204"/>
      <c r="EU20" s="204"/>
      <c r="EV20" s="204"/>
      <c r="EW20" s="204"/>
      <c r="EX20" s="204"/>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c r="GC20" s="204"/>
      <c r="GD20" s="204"/>
      <c r="GE20" s="204"/>
      <c r="GF20" s="204"/>
      <c r="GG20" s="204"/>
      <c r="GH20" s="204"/>
      <c r="GI20" s="204"/>
      <c r="GJ20" s="204"/>
      <c r="GK20" s="204"/>
      <c r="GL20" s="204"/>
      <c r="GM20" s="204"/>
      <c r="GN20" s="204"/>
      <c r="GO20" s="204"/>
      <c r="GP20" s="204"/>
      <c r="GQ20" s="204"/>
      <c r="GR20" s="204"/>
      <c r="GS20" s="204"/>
      <c r="GT20" s="204"/>
      <c r="GU20" s="204"/>
      <c r="GV20" s="204"/>
      <c r="GW20" s="204"/>
      <c r="GX20" s="204"/>
      <c r="GY20" s="204"/>
      <c r="GZ20" s="204"/>
      <c r="HA20" s="204"/>
      <c r="HB20" s="204"/>
      <c r="HC20" s="204"/>
      <c r="HD20" s="204"/>
      <c r="HE20" s="204"/>
      <c r="HF20" s="204"/>
      <c r="HG20" s="204"/>
      <c r="HH20" s="204"/>
      <c r="HI20" s="204"/>
      <c r="HJ20" s="204"/>
      <c r="HK20" s="204"/>
      <c r="HL20" s="204"/>
      <c r="HM20" s="204"/>
      <c r="HN20" s="204"/>
      <c r="HO20" s="204"/>
      <c r="HP20" s="204"/>
      <c r="HQ20" s="204"/>
    </row>
    <row r="21" spans="1:225">
      <c r="A21" s="168"/>
      <c r="B21" s="168" t="s">
        <v>1069</v>
      </c>
      <c r="C21" s="168">
        <v>3</v>
      </c>
      <c r="D21" s="178" t="s">
        <v>1077</v>
      </c>
      <c r="E21" s="169"/>
      <c r="F21" s="169"/>
      <c r="G21" s="169" t="s">
        <v>962</v>
      </c>
      <c r="H21" s="169"/>
      <c r="I21" s="169"/>
      <c r="J21" s="169"/>
      <c r="K21" s="169"/>
      <c r="L21" s="169"/>
      <c r="M21" s="146">
        <v>43537</v>
      </c>
      <c r="N21" s="146">
        <v>43541</v>
      </c>
      <c r="O21" s="169"/>
      <c r="P21" s="170">
        <v>20</v>
      </c>
      <c r="Q21" s="170">
        <v>20</v>
      </c>
      <c r="R21" s="171" t="e">
        <f ca="1">IF(M21="","0",(N21-M21+1)-COUNTIFS(INDIRECT(getCalendarRange(O21)),"&gt;=" &amp; M21,INDIRECT(getCalendarRange(O21)),"&lt;=" &amp; N21))</f>
        <v>#NAME?</v>
      </c>
      <c r="S21" s="171" t="e">
        <f ca="1">IF(M21&gt;TODAY(),0,IF(N21&lt;TODAY(),R21,(TODAY()-M21+1)-COUNTIFS(INDIRECT(getCalendarRange(O21)),"&gt;=" &amp; M21,INDIRECT(getCalendarRange(O21)),"&lt;=" &amp; TODAY())))</f>
        <v>#NAME?</v>
      </c>
      <c r="T21" s="146"/>
      <c r="U21" s="146"/>
      <c r="V21" s="172">
        <v>0</v>
      </c>
      <c r="W21" s="173" t="str">
        <f ca="1">IF(U21="","0",IF(T21="","0",(U21-T21+1)-COUNTIFS(INDIRECT(getCalendarRange(O21)),"&gt;=" &amp; T21,INDIRECT(getCalendarRange(O21)),"&lt;=" &amp; U21)))</f>
        <v>0</v>
      </c>
      <c r="X21" s="174">
        <v>1</v>
      </c>
      <c r="Y21" s="169"/>
      <c r="Z21" s="175"/>
      <c r="AA21" s="176">
        <v>1</v>
      </c>
      <c r="AB21" s="177">
        <v>0.15</v>
      </c>
      <c r="AD21" s="205"/>
      <c r="AE21" s="204"/>
      <c r="AF21" s="204"/>
      <c r="AG21" s="204"/>
      <c r="AH21" s="204"/>
      <c r="AI21" s="204"/>
      <c r="AJ21" s="204"/>
      <c r="AK21" s="204"/>
      <c r="AL21" s="204"/>
      <c r="AM21" s="204"/>
      <c r="AN21" s="204"/>
      <c r="AO21" s="204"/>
      <c r="AP21" s="204"/>
      <c r="AQ21" s="204"/>
      <c r="AR21" s="204"/>
      <c r="AS21" s="204"/>
      <c r="AT21" s="204"/>
      <c r="AU21" s="204"/>
      <c r="AV21" s="204"/>
      <c r="AW21" s="204"/>
      <c r="AX21" s="204"/>
      <c r="AY21" s="204"/>
      <c r="AZ21" s="204"/>
      <c r="BA21" s="204"/>
      <c r="BB21" s="204"/>
      <c r="BC21" s="204"/>
      <c r="BD21" s="204"/>
      <c r="BE21" s="204"/>
      <c r="BF21" s="204"/>
      <c r="BG21" s="204"/>
      <c r="BH21" s="204"/>
      <c r="BI21" s="204"/>
      <c r="BJ21" s="204"/>
      <c r="BK21" s="204"/>
      <c r="BL21" s="204"/>
      <c r="BM21" s="204"/>
      <c r="BN21" s="204"/>
      <c r="BO21" s="204"/>
      <c r="BP21" s="204"/>
      <c r="BQ21" s="204"/>
      <c r="BR21" s="204"/>
      <c r="BS21" s="204"/>
      <c r="BT21" s="204"/>
      <c r="BU21" s="204"/>
      <c r="BV21" s="204"/>
      <c r="BW21" s="204"/>
      <c r="BX21" s="204"/>
      <c r="BY21" s="204"/>
      <c r="BZ21" s="204"/>
      <c r="CA21" s="204" t="str">
        <f>G21 &amp; " " &amp; IF(M21="","",TEXT(M21,"M/D-")) &amp; IF(N21="","",TEXT(N21,"M/D")) &amp; " "</f>
        <v xml:space="preserve">논리모델구축 3/13-3/17 </v>
      </c>
      <c r="CB21" s="204"/>
      <c r="CC21" s="204"/>
      <c r="CD21" s="194" t="str">
        <f>TEXT(AB21,"#0.00%") &amp; " "</f>
        <v xml:space="preserve">15.00% </v>
      </c>
      <c r="CE21" s="204"/>
      <c r="CF21" s="204"/>
      <c r="CG21" s="204"/>
      <c r="CH21" s="204"/>
      <c r="CI21" s="204"/>
      <c r="CJ21" s="204"/>
      <c r="CK21" s="204"/>
      <c r="CL21" s="204"/>
      <c r="CM21" s="204"/>
      <c r="CN21" s="204"/>
      <c r="CO21" s="204"/>
      <c r="CP21" s="204"/>
      <c r="CQ21" s="204"/>
      <c r="CR21" s="204"/>
      <c r="CS21" s="204"/>
      <c r="CT21" s="204"/>
      <c r="CU21" s="204"/>
      <c r="CV21" s="204"/>
      <c r="CW21" s="204"/>
      <c r="CX21" s="204"/>
      <c r="CY21" s="204"/>
      <c r="CZ21" s="204"/>
      <c r="DA21" s="204"/>
      <c r="DB21" s="204"/>
      <c r="DC21" s="204"/>
      <c r="DD21" s="204"/>
      <c r="DE21" s="204"/>
      <c r="DF21" s="204"/>
      <c r="DG21" s="204"/>
      <c r="DH21" s="204"/>
      <c r="DI21" s="204"/>
      <c r="DJ21" s="204"/>
      <c r="DK21" s="204"/>
      <c r="DL21" s="204"/>
      <c r="DM21" s="204"/>
      <c r="DN21" s="204"/>
      <c r="DO21" s="204"/>
      <c r="DP21" s="204"/>
      <c r="DQ21" s="204"/>
      <c r="DR21" s="204"/>
      <c r="DS21" s="204"/>
      <c r="DT21" s="204"/>
      <c r="DU21" s="204"/>
      <c r="DV21" s="204"/>
      <c r="DW21" s="204"/>
      <c r="DX21" s="204"/>
      <c r="DY21" s="204"/>
      <c r="DZ21" s="204"/>
      <c r="EA21" s="204"/>
      <c r="EB21" s="204"/>
      <c r="EC21" s="204"/>
      <c r="ED21" s="204"/>
      <c r="EE21" s="204"/>
      <c r="EF21" s="204"/>
      <c r="EG21" s="204"/>
      <c r="EH21" s="204"/>
      <c r="EI21" s="204"/>
      <c r="EJ21" s="204"/>
      <c r="EK21" s="204"/>
      <c r="EL21" s="204"/>
      <c r="EM21" s="204"/>
      <c r="EN21" s="204"/>
      <c r="EO21" s="204"/>
      <c r="EP21" s="204"/>
      <c r="EQ21" s="204"/>
      <c r="ER21" s="204"/>
      <c r="ES21" s="204"/>
      <c r="ET21" s="204"/>
      <c r="EU21" s="204"/>
      <c r="EV21" s="204"/>
      <c r="EW21" s="204"/>
      <c r="EX21" s="204"/>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c r="GC21" s="204"/>
      <c r="GD21" s="204"/>
      <c r="GE21" s="204"/>
      <c r="GF21" s="204"/>
      <c r="GG21" s="204"/>
      <c r="GH21" s="204"/>
      <c r="GI21" s="204"/>
      <c r="GJ21" s="204"/>
      <c r="GK21" s="204"/>
      <c r="GL21" s="204"/>
      <c r="GM21" s="204"/>
      <c r="GN21" s="204"/>
      <c r="GO21" s="204"/>
      <c r="GP21" s="204"/>
      <c r="GQ21" s="204"/>
      <c r="GR21" s="204"/>
      <c r="GS21" s="204"/>
      <c r="GT21" s="204"/>
      <c r="GU21" s="204"/>
      <c r="GV21" s="204"/>
      <c r="GW21" s="204"/>
      <c r="GX21" s="204"/>
      <c r="GY21" s="204"/>
      <c r="GZ21" s="204"/>
      <c r="HA21" s="204"/>
      <c r="HB21" s="204"/>
      <c r="HC21" s="204"/>
      <c r="HD21" s="204"/>
      <c r="HE21" s="204"/>
      <c r="HF21" s="204"/>
      <c r="HG21" s="204"/>
      <c r="HH21" s="204"/>
      <c r="HI21" s="204"/>
      <c r="HJ21" s="204"/>
      <c r="HK21" s="204"/>
      <c r="HL21" s="204"/>
      <c r="HM21" s="204"/>
      <c r="HN21" s="204"/>
      <c r="HO21" s="204"/>
      <c r="HP21" s="204"/>
      <c r="HQ21" s="204"/>
    </row>
    <row r="22" spans="1:225" ht="13.2">
      <c r="A22" s="168"/>
      <c r="B22" s="168"/>
      <c r="C22" s="168">
        <v>4</v>
      </c>
      <c r="D22" s="178" t="s">
        <v>1038</v>
      </c>
      <c r="E22" s="169"/>
      <c r="F22" s="169"/>
      <c r="G22" s="169"/>
      <c r="H22" s="169" t="s">
        <v>963</v>
      </c>
      <c r="I22" s="169"/>
      <c r="J22" s="169"/>
      <c r="K22" s="169"/>
      <c r="L22" s="169"/>
      <c r="M22" s="146">
        <v>43537</v>
      </c>
      <c r="N22" s="146">
        <v>43539</v>
      </c>
      <c r="O22" s="169"/>
      <c r="P22" s="170">
        <v>10</v>
      </c>
      <c r="Q22" s="170">
        <v>10</v>
      </c>
      <c r="R22" s="171" t="e">
        <f ca="1">IF(M22="","0",(N22-M22+1)-COUNTIFS(INDIRECT(getCalendarRange(O22)),"&gt;=" &amp; M22,INDIRECT(getCalendarRange(O22)),"&lt;=" &amp; N22))</f>
        <v>#NAME?</v>
      </c>
      <c r="S22" s="171" t="e">
        <f ca="1">IF(M22&gt;TODAY(),0,IF(N22&lt;TODAY(),R22,(TODAY()-M22+1)-COUNTIFS(INDIRECT(getCalendarRange(O22)),"&gt;=" &amp; M22,INDIRECT(getCalendarRange(O22)),"&lt;=" &amp; TODAY())))</f>
        <v>#NAME?</v>
      </c>
      <c r="T22" s="146">
        <v>42685</v>
      </c>
      <c r="U22" s="146"/>
      <c r="V22" s="172">
        <v>-42684</v>
      </c>
      <c r="W22" s="173" t="str">
        <f ca="1">IF(U22="","0",IF(T22="","0",(U22-T22+1)-COUNTIFS(INDIRECT(getCalendarRange(O22)),"&gt;=" &amp; T22,INDIRECT(getCalendarRange(O22)),"&lt;=" &amp; U22)))</f>
        <v>0</v>
      </c>
      <c r="X22" s="174">
        <v>1</v>
      </c>
      <c r="Y22" s="211" t="s">
        <v>1172</v>
      </c>
      <c r="Z22" s="175"/>
      <c r="AA22" s="176">
        <v>1</v>
      </c>
      <c r="AB22" s="177">
        <v>0.3</v>
      </c>
      <c r="AD22" s="205"/>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204"/>
      <c r="BD22" s="204"/>
      <c r="BE22" s="204"/>
      <c r="BF22" s="204"/>
      <c r="BG22" s="204"/>
      <c r="BH22" s="204"/>
      <c r="BI22" s="204"/>
      <c r="BJ22" s="204"/>
      <c r="BK22" s="204"/>
      <c r="BL22" s="204"/>
      <c r="BM22" s="204"/>
      <c r="BN22" s="204"/>
      <c r="BO22" s="204"/>
      <c r="BP22" s="204"/>
      <c r="BQ22" s="204"/>
      <c r="BR22" s="204"/>
      <c r="BS22" s="204"/>
      <c r="BT22" s="204"/>
      <c r="BU22" s="204"/>
      <c r="BV22" s="204"/>
      <c r="BW22" s="204"/>
      <c r="BX22" s="204"/>
      <c r="BY22" s="204"/>
      <c r="BZ22" s="204"/>
      <c r="CA22" s="204" t="str">
        <f>H22 &amp; " " &amp; IF(M22="","",TEXT(M22,"M/D-")) &amp; IF(N22="","",TEXT(N22,"M/D")) &amp; " "</f>
        <v xml:space="preserve">프로세스모델링 3/13-3/15 </v>
      </c>
      <c r="CB22" s="204"/>
      <c r="CC22" s="204"/>
      <c r="CD22" s="204"/>
      <c r="CE22" s="204"/>
      <c r="CF22" s="194" t="str">
        <f>TEXT(AB22,"#0.00%") &amp; " "</f>
        <v xml:space="preserve">30.00% </v>
      </c>
      <c r="CG22" s="204"/>
      <c r="CH22" s="204"/>
      <c r="CI22" s="204"/>
      <c r="CJ22" s="204"/>
      <c r="CK22" s="204"/>
      <c r="CL22" s="204"/>
      <c r="CM22" s="204"/>
      <c r="CN22" s="204"/>
      <c r="CO22" s="204"/>
      <c r="CP22" s="204"/>
      <c r="CQ22" s="204"/>
      <c r="CR22" s="204"/>
      <c r="CS22" s="204"/>
      <c r="CT22" s="204"/>
      <c r="CU22" s="204"/>
      <c r="CV22" s="204"/>
      <c r="CW22" s="204"/>
      <c r="CX22" s="204"/>
      <c r="CY22" s="204"/>
      <c r="CZ22" s="204"/>
      <c r="DA22" s="204"/>
      <c r="DB22" s="204"/>
      <c r="DC22" s="204"/>
      <c r="DD22" s="204"/>
      <c r="DE22" s="204"/>
      <c r="DF22" s="204"/>
      <c r="DG22" s="204"/>
      <c r="DH22" s="204"/>
      <c r="DI22" s="204"/>
      <c r="DJ22" s="204"/>
      <c r="DK22" s="204"/>
      <c r="DL22" s="204"/>
      <c r="DM22" s="204"/>
      <c r="DN22" s="204"/>
      <c r="DO22" s="204"/>
      <c r="DP22" s="204"/>
      <c r="DQ22" s="204"/>
      <c r="DR22" s="204"/>
      <c r="DS22" s="204"/>
      <c r="DT22" s="204"/>
      <c r="DU22" s="204"/>
      <c r="DV22" s="204"/>
      <c r="DW22" s="204"/>
      <c r="DX22" s="204"/>
      <c r="DY22" s="204"/>
      <c r="DZ22" s="204"/>
      <c r="EA22" s="204"/>
      <c r="EB22" s="204"/>
      <c r="EC22" s="204"/>
      <c r="ED22" s="204"/>
      <c r="EE22" s="204"/>
      <c r="EF22" s="204"/>
      <c r="EG22" s="204"/>
      <c r="EH22" s="204"/>
      <c r="EI22" s="204"/>
      <c r="EJ22" s="204"/>
      <c r="EK22" s="204"/>
      <c r="EL22" s="204"/>
      <c r="EM22" s="204"/>
      <c r="EN22" s="204"/>
      <c r="EO22" s="204"/>
      <c r="EP22" s="204"/>
      <c r="EQ22" s="204"/>
      <c r="ER22" s="204"/>
      <c r="ES22" s="204"/>
      <c r="ET22" s="204"/>
      <c r="EU22" s="204"/>
      <c r="EV22" s="204"/>
      <c r="EW22" s="204"/>
      <c r="EX22" s="204"/>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c r="GC22" s="204"/>
      <c r="GD22" s="204"/>
      <c r="GE22" s="204"/>
      <c r="GF22" s="204"/>
      <c r="GG22" s="204"/>
      <c r="GH22" s="204"/>
      <c r="GI22" s="204"/>
      <c r="GJ22" s="204"/>
      <c r="GK22" s="204"/>
      <c r="GL22" s="204"/>
      <c r="GM22" s="204"/>
      <c r="GN22" s="204"/>
      <c r="GO22" s="204"/>
      <c r="GP22" s="204"/>
      <c r="GQ22" s="204"/>
      <c r="GR22" s="204"/>
      <c r="GS22" s="204"/>
      <c r="GT22" s="204"/>
      <c r="GU22" s="204"/>
      <c r="GV22" s="204"/>
      <c r="GW22" s="204"/>
      <c r="GX22" s="204"/>
      <c r="GY22" s="204"/>
      <c r="GZ22" s="204"/>
      <c r="HA22" s="204"/>
      <c r="HB22" s="204"/>
      <c r="HC22" s="204"/>
      <c r="HD22" s="204"/>
      <c r="HE22" s="204"/>
      <c r="HF22" s="204"/>
      <c r="HG22" s="204"/>
      <c r="HH22" s="204"/>
      <c r="HI22" s="204"/>
      <c r="HJ22" s="204"/>
      <c r="HK22" s="204"/>
      <c r="HL22" s="204"/>
      <c r="HM22" s="204"/>
      <c r="HN22" s="204"/>
      <c r="HO22" s="204"/>
      <c r="HP22" s="204"/>
      <c r="HQ22" s="204"/>
    </row>
    <row r="23" spans="1:225" ht="13.2">
      <c r="A23" s="168"/>
      <c r="B23" s="168"/>
      <c r="C23" s="168">
        <v>4</v>
      </c>
      <c r="D23" s="178" t="s">
        <v>1039</v>
      </c>
      <c r="E23" s="169"/>
      <c r="F23" s="169"/>
      <c r="G23" s="169"/>
      <c r="H23" s="169" t="s">
        <v>965</v>
      </c>
      <c r="I23" s="169"/>
      <c r="J23" s="169"/>
      <c r="K23" s="169"/>
      <c r="L23" s="169"/>
      <c r="M23" s="146">
        <v>43539</v>
      </c>
      <c r="N23" s="146">
        <v>43541</v>
      </c>
      <c r="O23" s="169"/>
      <c r="P23" s="170">
        <v>10</v>
      </c>
      <c r="Q23" s="170">
        <v>10</v>
      </c>
      <c r="R23" s="171" t="e">
        <f ca="1">IF(M23="","0",(N23-M23+1)-COUNTIFS(INDIRECT(getCalendarRange(O23)),"&gt;=" &amp; M23,INDIRECT(getCalendarRange(O23)),"&lt;=" &amp; N23))</f>
        <v>#NAME?</v>
      </c>
      <c r="S23" s="171" t="e">
        <f ca="1">IF(M23&gt;TODAY(),0,IF(N23&lt;TODAY(),R23,(TODAY()-M23+1)-COUNTIFS(INDIRECT(getCalendarRange(O23)),"&gt;=" &amp; M23,INDIRECT(getCalendarRange(O23)),"&lt;=" &amp; TODAY())))</f>
        <v>#NAME?</v>
      </c>
      <c r="T23" s="146"/>
      <c r="U23" s="146"/>
      <c r="V23" s="172"/>
      <c r="W23" s="173" t="str">
        <f ca="1">IF(U23="","0",IF(T23="","0",(U23-T23+1)-COUNTIFS(INDIRECT(getCalendarRange(O23)),"&gt;=" &amp; T23,INDIRECT(getCalendarRange(O23)),"&lt;=" &amp; U23)))</f>
        <v>0</v>
      </c>
      <c r="X23" s="174">
        <v>1</v>
      </c>
      <c r="Y23" s="211" t="s">
        <v>1172</v>
      </c>
      <c r="Z23" s="213" t="s">
        <v>1180</v>
      </c>
      <c r="AA23" s="176">
        <v>1</v>
      </c>
      <c r="AB23" s="177">
        <v>0</v>
      </c>
      <c r="AD23" s="205"/>
      <c r="AE23" s="204"/>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04"/>
      <c r="BD23" s="204"/>
      <c r="BE23" s="204"/>
      <c r="BF23" s="204"/>
      <c r="BG23" s="204"/>
      <c r="BH23" s="204"/>
      <c r="BI23" s="204"/>
      <c r="BJ23" s="204"/>
      <c r="BK23" s="204"/>
      <c r="BL23" s="204"/>
      <c r="BM23" s="204"/>
      <c r="BN23" s="204"/>
      <c r="BO23" s="204"/>
      <c r="BP23" s="204"/>
      <c r="BQ23" s="204"/>
      <c r="BR23" s="204"/>
      <c r="BS23" s="204"/>
      <c r="BT23" s="204"/>
      <c r="BU23" s="204"/>
      <c r="BV23" s="204"/>
      <c r="BW23" s="204"/>
      <c r="BX23" s="204"/>
      <c r="BY23" s="204"/>
      <c r="BZ23" s="204"/>
      <c r="CA23" s="204" t="str">
        <f>H23 &amp; " " &amp; IF(M23="","",TEXT(M23,"M/D-")) &amp; IF(N23="","",TEXT(N23,"M/D")) &amp; " "</f>
        <v xml:space="preserve">데이터모델링 3/15-3/17 </v>
      </c>
      <c r="CB23" s="194" t="str">
        <f>TEXT(AB23,"#0.00%") &amp; " "</f>
        <v xml:space="preserve">0.00% </v>
      </c>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4"/>
      <c r="CY23" s="204"/>
      <c r="CZ23" s="204"/>
      <c r="DA23" s="204"/>
      <c r="DB23" s="204"/>
      <c r="DC23" s="204"/>
      <c r="DD23" s="204"/>
      <c r="DE23" s="204"/>
      <c r="DF23" s="204"/>
      <c r="DG23" s="204"/>
      <c r="DH23" s="204"/>
      <c r="DI23" s="204"/>
      <c r="DJ23" s="204"/>
      <c r="DK23" s="204"/>
      <c r="DL23" s="204"/>
      <c r="DM23" s="204"/>
      <c r="DN23" s="204"/>
      <c r="DO23" s="204"/>
      <c r="DP23" s="204"/>
      <c r="DQ23" s="204"/>
      <c r="DR23" s="204"/>
      <c r="DS23" s="204"/>
      <c r="DT23" s="204"/>
      <c r="DU23" s="204"/>
      <c r="DV23" s="204"/>
      <c r="DW23" s="204"/>
      <c r="DX23" s="204"/>
      <c r="DY23" s="204"/>
      <c r="DZ23" s="204"/>
      <c r="EA23" s="204"/>
      <c r="EB23" s="204"/>
      <c r="EC23" s="204"/>
      <c r="ED23" s="204"/>
      <c r="EE23" s="204"/>
      <c r="EF23" s="204"/>
      <c r="EG23" s="204"/>
      <c r="EH23" s="204"/>
      <c r="EI23" s="204"/>
      <c r="EJ23" s="204"/>
      <c r="EK23" s="204"/>
      <c r="EL23" s="204"/>
      <c r="EM23" s="204"/>
      <c r="EN23" s="204"/>
      <c r="EO23" s="204"/>
      <c r="EP23" s="204"/>
      <c r="EQ23" s="204"/>
      <c r="ER23" s="204"/>
      <c r="ES23" s="204"/>
      <c r="ET23" s="204"/>
      <c r="EU23" s="204"/>
      <c r="EV23" s="204"/>
      <c r="EW23" s="204"/>
      <c r="EX23" s="204"/>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c r="GC23" s="204"/>
      <c r="GD23" s="204"/>
      <c r="GE23" s="204"/>
      <c r="GF23" s="204"/>
      <c r="GG23" s="204"/>
      <c r="GH23" s="204"/>
      <c r="GI23" s="204"/>
      <c r="GJ23" s="204"/>
      <c r="GK23" s="204"/>
      <c r="GL23" s="204"/>
      <c r="GM23" s="204"/>
      <c r="GN23" s="204"/>
      <c r="GO23" s="204"/>
      <c r="GP23" s="204"/>
      <c r="GQ23" s="204"/>
      <c r="GR23" s="204"/>
      <c r="GS23" s="204"/>
      <c r="GT23" s="204"/>
      <c r="GU23" s="204"/>
      <c r="GV23" s="204"/>
      <c r="GW23" s="204"/>
      <c r="GX23" s="204"/>
      <c r="GY23" s="204"/>
      <c r="GZ23" s="204"/>
      <c r="HA23" s="204"/>
      <c r="HB23" s="204"/>
      <c r="HC23" s="204"/>
      <c r="HD23" s="204"/>
      <c r="HE23" s="204"/>
      <c r="HF23" s="204"/>
      <c r="HG23" s="204"/>
      <c r="HH23" s="204"/>
      <c r="HI23" s="204"/>
      <c r="HJ23" s="204"/>
      <c r="HK23" s="204"/>
      <c r="HL23" s="204"/>
      <c r="HM23" s="204"/>
      <c r="HN23" s="204"/>
      <c r="HO23" s="204"/>
      <c r="HP23" s="204"/>
      <c r="HQ23" s="204"/>
    </row>
    <row r="24" spans="1:225">
      <c r="A24" s="168"/>
      <c r="B24" s="168" t="s">
        <v>1069</v>
      </c>
      <c r="C24" s="168">
        <v>2</v>
      </c>
      <c r="D24" s="178" t="s">
        <v>1078</v>
      </c>
      <c r="E24" s="169"/>
      <c r="F24" s="169" t="s">
        <v>966</v>
      </c>
      <c r="G24" s="169"/>
      <c r="H24" s="169"/>
      <c r="I24" s="169"/>
      <c r="J24" s="169"/>
      <c r="K24" s="169"/>
      <c r="L24" s="169"/>
      <c r="M24" s="146">
        <v>43536</v>
      </c>
      <c r="N24" s="146">
        <v>43538</v>
      </c>
      <c r="O24" s="169"/>
      <c r="P24" s="170">
        <v>69</v>
      </c>
      <c r="Q24" s="170">
        <v>9</v>
      </c>
      <c r="R24" s="171" t="e">
        <f ca="1">IF(M24="","0",(N24-M24+1)-COUNTIFS(INDIRECT(getCalendarRange(O24)),"&gt;=" &amp; M24,INDIRECT(getCalendarRange(O24)),"&lt;=" &amp; N24))</f>
        <v>#NAME?</v>
      </c>
      <c r="S24" s="171" t="e">
        <f ca="1">IF(M24&gt;TODAY(),0,IF(N24&lt;TODAY(),R24,(TODAY()-M24+1)-COUNTIFS(INDIRECT(getCalendarRange(O24)),"&gt;=" &amp; M24,INDIRECT(getCalendarRange(O24)),"&lt;=" &amp; TODAY())))</f>
        <v>#NAME?</v>
      </c>
      <c r="T24" s="146"/>
      <c r="U24" s="146"/>
      <c r="V24" s="172">
        <v>0</v>
      </c>
      <c r="W24" s="173" t="str">
        <f ca="1">IF(U24="","0",IF(T24="","0",(U24-T24+1)-COUNTIFS(INDIRECT(getCalendarRange(O24)),"&gt;=" &amp; T24,INDIRECT(getCalendarRange(O24)),"&lt;=" &amp; U24)))</f>
        <v>0</v>
      </c>
      <c r="X24" s="174">
        <v>1</v>
      </c>
      <c r="Y24" s="169"/>
      <c r="Z24" s="175"/>
      <c r="AA24" s="176">
        <v>1</v>
      </c>
      <c r="AB24" s="177">
        <v>0</v>
      </c>
      <c r="AD24" s="205"/>
      <c r="AE24" s="204"/>
      <c r="AF24" s="204"/>
      <c r="AG24" s="204"/>
      <c r="AH24" s="204"/>
      <c r="AI24" s="204"/>
      <c r="AJ24" s="204"/>
      <c r="AK24" s="204"/>
      <c r="AL24" s="204"/>
      <c r="AM24" s="204"/>
      <c r="AN24" s="204"/>
      <c r="AO24" s="204"/>
      <c r="AP24" s="204"/>
      <c r="AQ24" s="204"/>
      <c r="AR24" s="204"/>
      <c r="AS24" s="204"/>
      <c r="AT24" s="204"/>
      <c r="AU24" s="204"/>
      <c r="AV24" s="204"/>
      <c r="AW24" s="204"/>
      <c r="AX24" s="204"/>
      <c r="AY24" s="204"/>
      <c r="AZ24" s="204"/>
      <c r="BA24" s="204"/>
      <c r="BB24" s="204"/>
      <c r="BC24" s="204"/>
      <c r="BD24" s="204"/>
      <c r="BE24" s="204"/>
      <c r="BF24" s="204"/>
      <c r="BG24" s="204"/>
      <c r="BH24" s="204"/>
      <c r="BI24" s="204"/>
      <c r="BJ24" s="204"/>
      <c r="BK24" s="204"/>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c r="CO24" s="204" t="str">
        <f>F24 &amp; " " &amp; IF(M24="","",TEXT(M24,"M/D-")) &amp; IF(N24="","",TEXT(N24,"M/D")) &amp; " "</f>
        <v xml:space="preserve">설계 3/12-3/14 </v>
      </c>
      <c r="CP24" s="194" t="str">
        <f>TEXT(AB24,"#0.00%") &amp; " "</f>
        <v xml:space="preserve">0.00% </v>
      </c>
      <c r="CQ24" s="204"/>
      <c r="CR24" s="204"/>
      <c r="CS24" s="204"/>
      <c r="CT24" s="204"/>
      <c r="CU24" s="204"/>
      <c r="CV24" s="204"/>
      <c r="CW24" s="204"/>
      <c r="CX24" s="204"/>
      <c r="CY24" s="204"/>
      <c r="CZ24" s="204"/>
      <c r="DA24" s="204"/>
      <c r="DB24" s="204"/>
      <c r="DC24" s="204"/>
      <c r="DD24" s="204"/>
      <c r="DE24" s="204"/>
      <c r="DF24" s="204"/>
      <c r="DG24" s="204"/>
      <c r="DH24" s="204"/>
      <c r="DI24" s="204"/>
      <c r="DJ24" s="204"/>
      <c r="DK24" s="204"/>
      <c r="DL24" s="204"/>
      <c r="DM24" s="204"/>
      <c r="DN24" s="204"/>
      <c r="DO24" s="204"/>
      <c r="DP24" s="204"/>
      <c r="DQ24" s="204"/>
      <c r="DR24" s="204"/>
      <c r="DS24" s="204"/>
      <c r="DT24" s="204"/>
      <c r="DU24" s="204"/>
      <c r="DV24" s="204"/>
      <c r="DW24" s="204"/>
      <c r="DX24" s="204"/>
      <c r="DY24" s="204"/>
      <c r="DZ24" s="204"/>
      <c r="EA24" s="204"/>
      <c r="EB24" s="204"/>
      <c r="EC24" s="204"/>
      <c r="ED24" s="204"/>
      <c r="EE24" s="204"/>
      <c r="EF24" s="204"/>
      <c r="EG24" s="204"/>
      <c r="EH24" s="204"/>
      <c r="EI24" s="204"/>
      <c r="EJ24" s="204"/>
      <c r="EK24" s="204"/>
      <c r="EL24" s="204"/>
      <c r="EM24" s="204"/>
      <c r="EN24" s="204"/>
      <c r="EO24" s="204"/>
      <c r="EP24" s="204"/>
      <c r="EQ24" s="204"/>
      <c r="ER24" s="204"/>
      <c r="ES24" s="204"/>
      <c r="ET24" s="204"/>
      <c r="EU24" s="204"/>
      <c r="EV24" s="204"/>
      <c r="EW24" s="204"/>
      <c r="EX24" s="204"/>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c r="GC24" s="204"/>
      <c r="GD24" s="204"/>
      <c r="GE24" s="204"/>
      <c r="GF24" s="204"/>
      <c r="GG24" s="204"/>
      <c r="GH24" s="204"/>
      <c r="GI24" s="204"/>
      <c r="GJ24" s="204"/>
      <c r="GK24" s="204"/>
      <c r="GL24" s="204"/>
      <c r="GM24" s="204"/>
      <c r="GN24" s="204"/>
      <c r="GO24" s="204"/>
      <c r="GP24" s="204"/>
      <c r="GQ24" s="204"/>
      <c r="GR24" s="204"/>
      <c r="GS24" s="204"/>
      <c r="GT24" s="204"/>
      <c r="GU24" s="204"/>
      <c r="GV24" s="204"/>
      <c r="GW24" s="204"/>
      <c r="GX24" s="204"/>
      <c r="GY24" s="204"/>
      <c r="GZ24" s="204"/>
      <c r="HA24" s="204"/>
      <c r="HB24" s="204"/>
      <c r="HC24" s="204"/>
      <c r="HD24" s="204"/>
      <c r="HE24" s="204"/>
      <c r="HF24" s="204"/>
      <c r="HG24" s="204"/>
      <c r="HH24" s="204"/>
      <c r="HI24" s="204"/>
      <c r="HJ24" s="204"/>
      <c r="HK24" s="204"/>
      <c r="HL24" s="204"/>
      <c r="HM24" s="204"/>
      <c r="HN24" s="204"/>
      <c r="HO24" s="204"/>
      <c r="HP24" s="204"/>
      <c r="HQ24" s="204"/>
    </row>
    <row r="25" spans="1:225" ht="13.2">
      <c r="A25" s="168"/>
      <c r="B25" s="168"/>
      <c r="C25" s="168">
        <v>3</v>
      </c>
      <c r="D25" s="178" t="s">
        <v>1040</v>
      </c>
      <c r="E25" s="169"/>
      <c r="F25" s="169"/>
      <c r="G25" s="169" t="s">
        <v>967</v>
      </c>
      <c r="H25" s="169"/>
      <c r="I25" s="169"/>
      <c r="J25" s="169"/>
      <c r="K25" s="169"/>
      <c r="L25" s="169"/>
      <c r="M25" s="146">
        <v>43536</v>
      </c>
      <c r="N25" s="146">
        <v>43536</v>
      </c>
      <c r="O25" s="169"/>
      <c r="P25" s="170">
        <v>12</v>
      </c>
      <c r="Q25" s="170">
        <v>7</v>
      </c>
      <c r="R25" s="171" t="e">
        <f ca="1">IF(M25="","0",(N25-M25+1)-COUNTIFS(INDIRECT(getCalendarRange(O25)),"&gt;=" &amp; M25,INDIRECT(getCalendarRange(O25)),"&lt;=" &amp; N25))</f>
        <v>#NAME?</v>
      </c>
      <c r="S25" s="171" t="e">
        <f ca="1">IF(M25&gt;TODAY(),0,IF(N25&lt;TODAY(),R25,(TODAY()-M25+1)-COUNTIFS(INDIRECT(getCalendarRange(O25)),"&gt;=" &amp; M25,INDIRECT(getCalendarRange(O25)),"&lt;=" &amp; TODAY())))</f>
        <v>#NAME?</v>
      </c>
      <c r="T25" s="146"/>
      <c r="U25" s="146"/>
      <c r="V25" s="172"/>
      <c r="W25" s="173" t="str">
        <f ca="1">IF(U25="","0",IF(T25="","0",(U25-T25+1)-COUNTIFS(INDIRECT(getCalendarRange(O25)),"&gt;=" &amp; T25,INDIRECT(getCalendarRange(O25)),"&lt;=" &amp; U25)))</f>
        <v>0</v>
      </c>
      <c r="X25" s="174">
        <v>1</v>
      </c>
      <c r="Y25" s="215" t="s">
        <v>1175</v>
      </c>
      <c r="Z25" s="175"/>
      <c r="AA25" s="176">
        <v>1</v>
      </c>
      <c r="AB25" s="177">
        <v>0</v>
      </c>
      <c r="AD25" s="205"/>
      <c r="AE25" s="204"/>
      <c r="AF25" s="204"/>
      <c r="AG25" s="204"/>
      <c r="AH25" s="204"/>
      <c r="AI25" s="204"/>
      <c r="AJ25" s="204"/>
      <c r="AK25" s="204"/>
      <c r="AL25" s="204"/>
      <c r="AM25" s="204"/>
      <c r="AN25" s="204"/>
      <c r="AO25" s="204"/>
      <c r="AP25" s="204"/>
      <c r="AQ25" s="204"/>
      <c r="AR25" s="204"/>
      <c r="AS25" s="204"/>
      <c r="AT25" s="204"/>
      <c r="AU25" s="204"/>
      <c r="AV25" s="204"/>
      <c r="AW25" s="204"/>
      <c r="AX25" s="204"/>
      <c r="AY25" s="204"/>
      <c r="AZ25" s="204"/>
      <c r="BA25" s="204"/>
      <c r="BB25" s="204"/>
      <c r="BC25" s="204"/>
      <c r="BD25" s="204"/>
      <c r="BE25" s="204"/>
      <c r="BF25" s="204"/>
      <c r="BG25" s="204"/>
      <c r="BH25" s="204"/>
      <c r="BI25" s="204"/>
      <c r="BJ25" s="204"/>
      <c r="BK25" s="204"/>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c r="CO25" s="204" t="str">
        <f>G25 &amp; " " &amp; IF(M25="","",TEXT(M25,"M/D-")) &amp; IF(N25="","",TEXT(N25,"M/D")) &amp; " "</f>
        <v xml:space="preserve">UI 설계 3/12-3/12 </v>
      </c>
      <c r="CP25" s="194" t="str">
        <f>TEXT(AB25,"#0.00%") &amp; " "</f>
        <v xml:space="preserve">0.00% </v>
      </c>
      <c r="CQ25" s="204"/>
      <c r="CR25" s="204"/>
      <c r="CS25" s="204"/>
      <c r="CT25" s="204"/>
      <c r="CU25" s="204"/>
      <c r="CV25" s="204"/>
      <c r="CW25" s="204"/>
      <c r="CX25" s="204"/>
      <c r="CY25" s="204"/>
      <c r="CZ25" s="204"/>
      <c r="DA25" s="204"/>
      <c r="DB25" s="204"/>
      <c r="DC25" s="204"/>
      <c r="DD25" s="204"/>
      <c r="DE25" s="204"/>
      <c r="DF25" s="204"/>
      <c r="DG25" s="204"/>
      <c r="DH25" s="204"/>
      <c r="DI25" s="204"/>
      <c r="DJ25" s="204"/>
      <c r="DK25" s="204"/>
      <c r="DL25" s="204"/>
      <c r="DM25" s="204"/>
      <c r="DN25" s="204"/>
      <c r="DO25" s="204"/>
      <c r="DP25" s="204"/>
      <c r="DQ25" s="204"/>
      <c r="DR25" s="204"/>
      <c r="DS25" s="204"/>
      <c r="DT25" s="204"/>
      <c r="DU25" s="204"/>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c r="HQ25" s="204"/>
    </row>
    <row r="26" spans="1:225">
      <c r="A26" s="168"/>
      <c r="B26" s="168" t="s">
        <v>1069</v>
      </c>
      <c r="C26" s="168">
        <v>3</v>
      </c>
      <c r="D26" s="178" t="s">
        <v>1079</v>
      </c>
      <c r="E26" s="169"/>
      <c r="F26" s="169"/>
      <c r="G26" s="169" t="s">
        <v>969</v>
      </c>
      <c r="H26" s="169"/>
      <c r="I26" s="169"/>
      <c r="J26" s="169"/>
      <c r="K26" s="169"/>
      <c r="L26" s="169"/>
      <c r="M26" s="146">
        <v>43538</v>
      </c>
      <c r="N26" s="146">
        <v>43546</v>
      </c>
      <c r="O26" s="169"/>
      <c r="P26" s="170">
        <v>57</v>
      </c>
      <c r="Q26" s="170">
        <v>2</v>
      </c>
      <c r="R26" s="171" t="e">
        <f ca="1">IF(M26="","0",(N26-M26+1)-COUNTIFS(INDIRECT(getCalendarRange(O26)),"&gt;=" &amp; M26,INDIRECT(getCalendarRange(O26)),"&lt;=" &amp; N26))</f>
        <v>#NAME?</v>
      </c>
      <c r="S26" s="171" t="e">
        <f ca="1">IF(M26&gt;TODAY(),0,IF(N26&lt;TODAY(),R26,(TODAY()-M26+1)-COUNTIFS(INDIRECT(getCalendarRange(O26)),"&gt;=" &amp; M26,INDIRECT(getCalendarRange(O26)),"&lt;=" &amp; TODAY())))</f>
        <v>#NAME?</v>
      </c>
      <c r="T26" s="146"/>
      <c r="U26" s="146"/>
      <c r="V26" s="172">
        <v>0</v>
      </c>
      <c r="W26" s="173" t="str">
        <f ca="1">IF(U26="","0",IF(T26="","0",(U26-T26+1)-COUNTIFS(INDIRECT(getCalendarRange(O26)),"&gt;=" &amp; T26,INDIRECT(getCalendarRange(O26)),"&lt;=" &amp; U26)))</f>
        <v>0</v>
      </c>
      <c r="X26" s="174">
        <v>1</v>
      </c>
      <c r="Y26" s="169"/>
      <c r="Z26" s="175"/>
      <c r="AA26" s="176">
        <v>0.68669999999999998</v>
      </c>
      <c r="AB26" s="177">
        <v>0</v>
      </c>
      <c r="AD26" s="205"/>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c r="BC26" s="204"/>
      <c r="BD26" s="204"/>
      <c r="BE26" s="204"/>
      <c r="BF26" s="204"/>
      <c r="BG26" s="204"/>
      <c r="BH26" s="204"/>
      <c r="BI26" s="204"/>
      <c r="BJ26" s="204"/>
      <c r="BK26" s="204"/>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c r="CV26" s="204" t="str">
        <f>G26 &amp; " " &amp; IF(M26="","",TEXT(M26,"M/D-")) &amp; IF(N26="","",TEXT(N26,"M/D")) &amp; " "</f>
        <v xml:space="preserve">시스템 설계 3/14-3/22 </v>
      </c>
      <c r="CW26" s="194" t="str">
        <f>TEXT(AB26,"#0.00%") &amp; " "</f>
        <v xml:space="preserve">0.00% </v>
      </c>
      <c r="CX26" s="204"/>
      <c r="CY26" s="204"/>
      <c r="CZ26" s="204"/>
      <c r="DA26" s="204"/>
      <c r="DB26" s="204"/>
      <c r="DC26" s="204"/>
      <c r="DD26" s="204"/>
      <c r="DE26" s="204"/>
      <c r="DF26" s="204"/>
      <c r="DG26" s="204"/>
      <c r="DH26" s="204"/>
      <c r="DI26" s="204"/>
      <c r="DJ26" s="204"/>
      <c r="DK26" s="204"/>
      <c r="DL26" s="204"/>
      <c r="DM26" s="204"/>
      <c r="DN26" s="204"/>
      <c r="DO26" s="204"/>
      <c r="DP26" s="204"/>
      <c r="DQ26" s="204"/>
      <c r="DR26" s="204"/>
      <c r="DS26" s="204"/>
      <c r="DT26" s="204"/>
      <c r="DU26" s="204"/>
      <c r="DV26" s="204"/>
      <c r="DW26" s="204"/>
      <c r="DX26" s="204"/>
      <c r="DY26" s="204"/>
      <c r="DZ26" s="204"/>
      <c r="EA26" s="204"/>
      <c r="EB26" s="204"/>
      <c r="EC26" s="204"/>
      <c r="ED26" s="204"/>
      <c r="EE26" s="204"/>
      <c r="EF26" s="204"/>
      <c r="EG26" s="204"/>
      <c r="EH26" s="204"/>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c r="HQ26" s="204"/>
    </row>
    <row r="27" spans="1:225" ht="13.2">
      <c r="A27" s="168"/>
      <c r="B27" s="168"/>
      <c r="C27" s="168">
        <v>4</v>
      </c>
      <c r="D27" s="178" t="s">
        <v>1041</v>
      </c>
      <c r="E27" s="169"/>
      <c r="F27" s="169"/>
      <c r="G27" s="169"/>
      <c r="H27" s="169" t="s">
        <v>970</v>
      </c>
      <c r="I27" s="169"/>
      <c r="J27" s="169"/>
      <c r="K27" s="169"/>
      <c r="L27" s="169"/>
      <c r="M27" s="146">
        <v>43538</v>
      </c>
      <c r="N27" s="146">
        <v>43541</v>
      </c>
      <c r="O27" s="169"/>
      <c r="P27" s="170">
        <v>7</v>
      </c>
      <c r="Q27" s="170">
        <v>2</v>
      </c>
      <c r="R27" s="171" t="e">
        <f ca="1">IF(M27="","0",(N27-M27+1)-COUNTIFS(INDIRECT(getCalendarRange(O27)),"&gt;=" &amp; M27,INDIRECT(getCalendarRange(O27)),"&lt;=" &amp; N27))</f>
        <v>#NAME?</v>
      </c>
      <c r="S27" s="171" t="e">
        <f ca="1">IF(M27&gt;TODAY(),0,IF(N27&lt;TODAY(),R27,(TODAY()-M27+1)-COUNTIFS(INDIRECT(getCalendarRange(O27)),"&gt;=" &amp; M27,INDIRECT(getCalendarRange(O27)),"&lt;=" &amp; TODAY())))</f>
        <v>#NAME?</v>
      </c>
      <c r="T27" s="146"/>
      <c r="U27" s="146"/>
      <c r="V27" s="172"/>
      <c r="W27" s="173" t="str">
        <f ca="1">IF(U27="","0",IF(T27="","0",(U27-T27+1)-COUNTIFS(INDIRECT(getCalendarRange(O27)),"&gt;=" &amp; T27,INDIRECT(getCalendarRange(O27)),"&lt;=" &amp; U27)))</f>
        <v>0</v>
      </c>
      <c r="X27" s="174">
        <v>1</v>
      </c>
      <c r="Y27" s="211" t="s">
        <v>1172</v>
      </c>
      <c r="Z27" s="175"/>
      <c r="AA27" s="176">
        <v>1</v>
      </c>
      <c r="AB27" s="177">
        <v>0</v>
      </c>
      <c r="AD27" s="205"/>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204"/>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c r="CV27" s="204" t="str">
        <f>H27 &amp; " " &amp; IF(M27="","",TEXT(M27,"M/D-")) &amp; IF(N27="","",TEXT(N27,"M/D")) &amp; " "</f>
        <v xml:space="preserve">Architecture설계 3/14-3/17 </v>
      </c>
      <c r="CW27" s="194" t="str">
        <f>TEXT(AB27,"#0.00%") &amp; " "</f>
        <v xml:space="preserve">0.00% </v>
      </c>
      <c r="CX27" s="204"/>
      <c r="CY27" s="204"/>
      <c r="CZ27" s="204"/>
      <c r="DA27" s="204"/>
      <c r="DB27" s="204"/>
      <c r="DC27" s="204"/>
      <c r="DD27" s="204"/>
      <c r="DE27" s="204"/>
      <c r="DF27" s="204"/>
      <c r="DG27" s="204"/>
      <c r="DH27" s="204"/>
      <c r="DI27" s="204"/>
      <c r="DJ27" s="204"/>
      <c r="DK27" s="204"/>
      <c r="DL27" s="204"/>
      <c r="DM27" s="204"/>
      <c r="DN27" s="204"/>
      <c r="DO27" s="204"/>
      <c r="DP27" s="204"/>
      <c r="DQ27" s="204"/>
      <c r="DR27" s="204"/>
      <c r="DS27" s="204"/>
      <c r="DT27" s="204"/>
      <c r="DU27" s="204"/>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c r="HQ27" s="204"/>
    </row>
    <row r="28" spans="1:225" ht="13.2">
      <c r="A28" s="168"/>
      <c r="B28" s="168"/>
      <c r="C28" s="168">
        <v>4</v>
      </c>
      <c r="D28" s="178" t="s">
        <v>1042</v>
      </c>
      <c r="E28" s="169"/>
      <c r="F28" s="169"/>
      <c r="G28" s="169"/>
      <c r="H28" s="169" t="s">
        <v>972</v>
      </c>
      <c r="I28" s="169"/>
      <c r="J28" s="169"/>
      <c r="K28" s="169"/>
      <c r="L28" s="169"/>
      <c r="M28" s="146">
        <v>43538</v>
      </c>
      <c r="N28" s="146">
        <v>43541</v>
      </c>
      <c r="O28" s="169"/>
      <c r="P28" s="170">
        <v>9</v>
      </c>
      <c r="Q28" s="170">
        <v>0</v>
      </c>
      <c r="R28" s="171" t="e">
        <f ca="1">IF(M28="","0",(N28-M28+1)-COUNTIFS(INDIRECT(getCalendarRange(O28)),"&gt;=" &amp; M28,INDIRECT(getCalendarRange(O28)),"&lt;=" &amp; N28))</f>
        <v>#NAME?</v>
      </c>
      <c r="S28" s="171" t="e">
        <f ca="1">IF(M28&gt;TODAY(),0,IF(N28&lt;TODAY(),R28,(TODAY()-M28+1)-COUNTIFS(INDIRECT(getCalendarRange(O28)),"&gt;=" &amp; M28,INDIRECT(getCalendarRange(O28)),"&lt;=" &amp; TODAY())))</f>
        <v>#NAME?</v>
      </c>
      <c r="T28" s="146"/>
      <c r="U28" s="146"/>
      <c r="V28" s="172"/>
      <c r="W28" s="173" t="str">
        <f ca="1">IF(U28="","0",IF(T28="","0",(U28-T28+1)-COUNTIFS(INDIRECT(getCalendarRange(O28)),"&gt;=" &amp; T28,INDIRECT(getCalendarRange(O28)),"&lt;=" &amp; U28)))</f>
        <v>0</v>
      </c>
      <c r="X28" s="174">
        <v>1</v>
      </c>
      <c r="Y28" s="211" t="s">
        <v>1172</v>
      </c>
      <c r="Z28" s="175"/>
      <c r="AA28" s="176">
        <v>1</v>
      </c>
      <c r="AB28" s="177">
        <v>0</v>
      </c>
      <c r="AD28" s="205"/>
      <c r="AE28" s="204"/>
      <c r="AF28" s="204"/>
      <c r="AG28" s="204"/>
      <c r="AH28" s="204"/>
      <c r="AI28" s="204"/>
      <c r="AJ28" s="204"/>
      <c r="AK28" s="204"/>
      <c r="AL28" s="204"/>
      <c r="AM28" s="204"/>
      <c r="AN28" s="204"/>
      <c r="AO28" s="204"/>
      <c r="AP28" s="204"/>
      <c r="AQ28" s="204"/>
      <c r="AR28" s="204"/>
      <c r="AS28" s="204"/>
      <c r="AT28" s="204"/>
      <c r="AU28" s="204"/>
      <c r="AV28" s="204"/>
      <c r="AW28" s="204"/>
      <c r="AX28" s="204"/>
      <c r="AY28" s="204"/>
      <c r="AZ28" s="204"/>
      <c r="BA28" s="204"/>
      <c r="BB28" s="204"/>
      <c r="BC28" s="204"/>
      <c r="BD28" s="204"/>
      <c r="BE28" s="204"/>
      <c r="BF28" s="204"/>
      <c r="BG28" s="204"/>
      <c r="BH28" s="204"/>
      <c r="BI28" s="204"/>
      <c r="BJ28" s="204"/>
      <c r="BK28" s="204"/>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4"/>
      <c r="CY28" s="204"/>
      <c r="CZ28" s="204"/>
      <c r="DA28" s="204"/>
      <c r="DB28" s="204"/>
      <c r="DC28" s="204" t="str">
        <f>H28 &amp; " " &amp; IF(M28="","",TEXT(M28,"M/D-")) &amp; IF(N28="","",TEXT(N28,"M/D")) &amp; " "</f>
        <v xml:space="preserve">데이터베이스설계 3/14-3/17 </v>
      </c>
      <c r="DD28" s="194" t="str">
        <f>TEXT(AB28,"#0.00%") &amp; " "</f>
        <v xml:space="preserve">0.00% </v>
      </c>
      <c r="DE28" s="204"/>
      <c r="DF28" s="204"/>
      <c r="DG28" s="204"/>
      <c r="DH28" s="204"/>
      <c r="DI28" s="204"/>
      <c r="DJ28" s="204"/>
      <c r="DK28" s="204"/>
      <c r="DL28" s="204"/>
      <c r="DM28" s="204"/>
      <c r="DN28" s="204"/>
      <c r="DO28" s="204"/>
      <c r="DP28" s="204"/>
      <c r="DQ28" s="204"/>
      <c r="DR28" s="204"/>
      <c r="DS28" s="204"/>
      <c r="DT28" s="204"/>
      <c r="DU28" s="204"/>
      <c r="DV28" s="204"/>
      <c r="DW28" s="204"/>
      <c r="DX28" s="204"/>
      <c r="DY28" s="204"/>
      <c r="DZ28" s="204"/>
      <c r="EA28" s="204"/>
      <c r="EB28" s="204"/>
      <c r="EC28" s="204"/>
      <c r="ED28" s="204"/>
      <c r="EE28" s="204"/>
      <c r="EF28" s="204"/>
      <c r="EG28" s="204"/>
      <c r="EH28" s="204"/>
      <c r="EI28" s="204"/>
      <c r="EJ28" s="204"/>
      <c r="EK28" s="204"/>
      <c r="EL28" s="204"/>
      <c r="EM28" s="204"/>
      <c r="EN28" s="204"/>
      <c r="EO28" s="204"/>
      <c r="EP28" s="204"/>
      <c r="EQ28" s="204"/>
      <c r="ER28" s="204"/>
      <c r="ES28" s="204"/>
      <c r="ET28" s="204"/>
      <c r="EU28" s="204"/>
      <c r="EV28" s="204"/>
      <c r="EW28" s="204"/>
      <c r="EX28" s="204"/>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c r="GC28" s="204"/>
      <c r="GD28" s="204"/>
      <c r="GE28" s="204"/>
      <c r="GF28" s="204"/>
      <c r="GG28" s="204"/>
      <c r="GH28" s="204"/>
      <c r="GI28" s="204"/>
      <c r="GJ28" s="204"/>
      <c r="GK28" s="204"/>
      <c r="GL28" s="204"/>
      <c r="GM28" s="204"/>
      <c r="GN28" s="204"/>
      <c r="GO28" s="204"/>
      <c r="GP28" s="204"/>
      <c r="GQ28" s="204"/>
      <c r="GR28" s="204"/>
      <c r="GS28" s="204"/>
      <c r="GT28" s="204"/>
      <c r="GU28" s="204"/>
      <c r="GV28" s="204"/>
      <c r="GW28" s="204"/>
      <c r="GX28" s="204"/>
      <c r="GY28" s="204"/>
      <c r="GZ28" s="204"/>
      <c r="HA28" s="204"/>
      <c r="HB28" s="204"/>
      <c r="HC28" s="204"/>
      <c r="HD28" s="204"/>
      <c r="HE28" s="204"/>
      <c r="HF28" s="204"/>
      <c r="HG28" s="204"/>
      <c r="HH28" s="204"/>
      <c r="HI28" s="204"/>
      <c r="HJ28" s="204"/>
      <c r="HK28" s="204"/>
      <c r="HL28" s="204"/>
      <c r="HM28" s="204"/>
      <c r="HN28" s="204"/>
      <c r="HO28" s="204"/>
      <c r="HP28" s="204"/>
      <c r="HQ28" s="204"/>
    </row>
    <row r="29" spans="1:225" ht="13.2">
      <c r="A29" s="168"/>
      <c r="B29" s="168"/>
      <c r="C29" s="168"/>
      <c r="D29" s="178" t="s">
        <v>1176</v>
      </c>
      <c r="E29" s="169"/>
      <c r="F29" s="169"/>
      <c r="G29" s="169"/>
      <c r="H29" s="214" t="s">
        <v>1178</v>
      </c>
      <c r="I29" s="169"/>
      <c r="J29" s="169"/>
      <c r="K29" s="169"/>
      <c r="L29" s="169"/>
      <c r="M29" s="146">
        <v>43538</v>
      </c>
      <c r="N29" s="146">
        <v>43546</v>
      </c>
      <c r="O29" s="169"/>
      <c r="P29" s="170">
        <v>8</v>
      </c>
      <c r="Q29" s="170">
        <v>0</v>
      </c>
      <c r="R29" s="171"/>
      <c r="S29" s="171"/>
      <c r="T29" s="146"/>
      <c r="U29" s="146"/>
      <c r="V29" s="172"/>
      <c r="W29" s="173"/>
      <c r="X29" s="174">
        <v>1</v>
      </c>
      <c r="Y29" s="211" t="s">
        <v>1179</v>
      </c>
      <c r="Z29" s="175"/>
      <c r="AA29" s="176">
        <v>0.74250000000000005</v>
      </c>
      <c r="AB29" s="177"/>
      <c r="AD29" s="205"/>
      <c r="AE29" s="204"/>
      <c r="AF29" s="204"/>
      <c r="AG29" s="204"/>
      <c r="AH29" s="204"/>
      <c r="AI29" s="204"/>
      <c r="AJ29" s="204"/>
      <c r="AK29" s="204"/>
      <c r="AL29" s="204"/>
      <c r="AM29" s="204"/>
      <c r="AN29" s="204"/>
      <c r="AO29" s="204"/>
      <c r="AP29" s="204"/>
      <c r="AQ29" s="204"/>
      <c r="AR29" s="204"/>
      <c r="AS29" s="204"/>
      <c r="AT29" s="204"/>
      <c r="AU29" s="204"/>
      <c r="AV29" s="204"/>
      <c r="AW29" s="204"/>
      <c r="AX29" s="204"/>
      <c r="AY29" s="204"/>
      <c r="AZ29" s="204"/>
      <c r="BA29" s="204"/>
      <c r="BB29" s="204"/>
      <c r="BC29" s="204"/>
      <c r="BD29" s="204"/>
      <c r="BE29" s="204"/>
      <c r="BF29" s="204"/>
      <c r="BG29" s="204"/>
      <c r="BH29" s="204"/>
      <c r="BI29" s="204"/>
      <c r="BJ29" s="204"/>
      <c r="BK29" s="204"/>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4"/>
      <c r="CY29" s="204"/>
      <c r="CZ29" s="204"/>
      <c r="DA29" s="204"/>
      <c r="DB29" s="204"/>
      <c r="DC29" s="204" t="str">
        <f>H29 &amp; " " &amp; IF(M29="","",TEXT(M29,"M/D-")) &amp; IF(N29="","",TEXT(N29,"M/D")) &amp; " "</f>
        <v xml:space="preserve">하드웨어 설계 3/14-3/22 </v>
      </c>
      <c r="DD29" s="194" t="str">
        <f>TEXT(AB29,"#0.00%") &amp; " "</f>
        <v xml:space="preserve">0.00% </v>
      </c>
      <c r="DE29" s="204"/>
      <c r="DF29" s="204"/>
      <c r="DG29" s="204"/>
      <c r="DH29" s="204"/>
      <c r="DI29" s="204"/>
      <c r="DJ29" s="204"/>
      <c r="DK29" s="204"/>
      <c r="DL29" s="204"/>
      <c r="DM29" s="204"/>
      <c r="DN29" s="204"/>
      <c r="DO29" s="204"/>
      <c r="DP29" s="204"/>
      <c r="DQ29" s="204"/>
      <c r="DR29" s="204"/>
      <c r="DS29" s="204"/>
      <c r="DT29" s="204"/>
      <c r="DU29" s="204"/>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c r="HO29" s="204"/>
      <c r="HP29" s="204"/>
      <c r="HQ29" s="204"/>
    </row>
    <row r="30" spans="1:225" ht="13.2">
      <c r="A30" s="168"/>
      <c r="B30" s="168"/>
      <c r="C30" s="168"/>
      <c r="D30" s="178" t="s">
        <v>1196</v>
      </c>
      <c r="E30" s="169"/>
      <c r="F30" s="169"/>
      <c r="G30" s="169"/>
      <c r="H30" s="214"/>
      <c r="I30" s="210" t="s">
        <v>1197</v>
      </c>
      <c r="J30" s="169"/>
      <c r="K30" s="169"/>
      <c r="L30" s="169"/>
      <c r="M30" s="146">
        <v>43538</v>
      </c>
      <c r="N30" s="146">
        <v>43543</v>
      </c>
      <c r="O30" s="169"/>
      <c r="P30" s="170">
        <v>4</v>
      </c>
      <c r="Q30" s="170">
        <v>0</v>
      </c>
      <c r="R30" s="171"/>
      <c r="S30" s="171"/>
      <c r="T30" s="146"/>
      <c r="U30" s="146"/>
      <c r="V30" s="172"/>
      <c r="W30" s="173"/>
      <c r="X30" s="174">
        <v>1</v>
      </c>
      <c r="Y30" s="211" t="s">
        <v>1179</v>
      </c>
      <c r="Z30" s="175"/>
      <c r="AA30" s="176"/>
      <c r="AB30" s="177"/>
      <c r="AD30" s="205"/>
      <c r="AE30" s="204"/>
      <c r="AF30" s="204"/>
      <c r="AG30" s="204"/>
      <c r="AH30" s="204"/>
      <c r="AI30" s="204"/>
      <c r="AJ30" s="204"/>
      <c r="AK30" s="204"/>
      <c r="AL30" s="204"/>
      <c r="AM30" s="204"/>
      <c r="AN30" s="204"/>
      <c r="AO30" s="204"/>
      <c r="AP30" s="204"/>
      <c r="AQ30" s="204"/>
      <c r="AR30" s="204"/>
      <c r="AS30" s="204"/>
      <c r="AT30" s="204"/>
      <c r="AU30" s="204"/>
      <c r="AV30" s="204"/>
      <c r="AW30" s="204"/>
      <c r="AX30" s="204"/>
      <c r="AY30" s="204"/>
      <c r="AZ30" s="204"/>
      <c r="BA30" s="204"/>
      <c r="BB30" s="204"/>
      <c r="BC30" s="204"/>
      <c r="BD30" s="204"/>
      <c r="BE30" s="204"/>
      <c r="BF30" s="204"/>
      <c r="BG30" s="204"/>
      <c r="BH30" s="204"/>
      <c r="BI30" s="204"/>
      <c r="BJ30" s="204"/>
      <c r="BK30" s="204"/>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c r="CM30" s="204"/>
      <c r="CN30" s="204"/>
      <c r="CO30" s="204"/>
      <c r="CP30" s="204"/>
      <c r="CQ30" s="204"/>
      <c r="CR30" s="204"/>
      <c r="CS30" s="204"/>
      <c r="CT30" s="204"/>
      <c r="CU30" s="204"/>
      <c r="CV30" s="204"/>
      <c r="CW30" s="204"/>
      <c r="CX30" s="204"/>
      <c r="CY30" s="204"/>
      <c r="CZ30" s="204"/>
      <c r="DA30" s="204"/>
      <c r="DB30" s="204"/>
      <c r="DC30" s="204"/>
      <c r="DD30" s="194"/>
      <c r="DE30" s="204"/>
      <c r="DF30" s="204"/>
      <c r="DG30" s="204"/>
      <c r="DH30" s="204"/>
      <c r="DI30" s="204"/>
      <c r="DJ30" s="204"/>
      <c r="DK30" s="204"/>
      <c r="DL30" s="204"/>
      <c r="DM30" s="204"/>
      <c r="DN30" s="204"/>
      <c r="DO30" s="204"/>
      <c r="DP30" s="204"/>
      <c r="DQ30" s="204"/>
      <c r="DR30" s="204"/>
      <c r="DS30" s="204"/>
      <c r="DT30" s="204"/>
      <c r="DU30" s="204"/>
      <c r="DV30" s="204"/>
      <c r="DW30" s="204"/>
      <c r="DX30" s="204"/>
      <c r="DY30" s="204"/>
      <c r="DZ30" s="204"/>
      <c r="EA30" s="204"/>
      <c r="EB30" s="204"/>
      <c r="EC30" s="204"/>
      <c r="ED30" s="204"/>
      <c r="EE30" s="204"/>
      <c r="EF30" s="204"/>
      <c r="EG30" s="204"/>
      <c r="EH30" s="204"/>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c r="HO30" s="204"/>
      <c r="HP30" s="204"/>
      <c r="HQ30" s="204"/>
    </row>
    <row r="31" spans="1:225" ht="13.2">
      <c r="A31" s="168"/>
      <c r="B31" s="168"/>
      <c r="C31" s="168"/>
      <c r="D31" s="178" t="s">
        <v>1198</v>
      </c>
      <c r="E31" s="169"/>
      <c r="F31" s="169"/>
      <c r="G31" s="169"/>
      <c r="H31" s="214"/>
      <c r="I31" s="210" t="s">
        <v>1199</v>
      </c>
      <c r="J31" s="169"/>
      <c r="K31" s="169"/>
      <c r="L31" s="169"/>
      <c r="M31" s="146">
        <v>43543</v>
      </c>
      <c r="N31" s="146">
        <v>43546</v>
      </c>
      <c r="O31" s="169"/>
      <c r="P31" s="170">
        <v>4</v>
      </c>
      <c r="Q31" s="170">
        <v>0</v>
      </c>
      <c r="R31" s="171"/>
      <c r="S31" s="171"/>
      <c r="T31" s="146"/>
      <c r="U31" s="146"/>
      <c r="V31" s="172"/>
      <c r="W31" s="173"/>
      <c r="X31" s="174">
        <v>1</v>
      </c>
      <c r="Y31" s="211" t="s">
        <v>1179</v>
      </c>
      <c r="Z31" s="175"/>
      <c r="AA31" s="176"/>
      <c r="AB31" s="177"/>
      <c r="AD31" s="205"/>
      <c r="AE31" s="204"/>
      <c r="AF31" s="204"/>
      <c r="AG31" s="204"/>
      <c r="AH31" s="204"/>
      <c r="AI31" s="204"/>
      <c r="AJ31" s="204"/>
      <c r="AK31" s="204"/>
      <c r="AL31" s="204"/>
      <c r="AM31" s="204"/>
      <c r="AN31" s="204"/>
      <c r="AO31" s="204"/>
      <c r="AP31" s="204"/>
      <c r="AQ31" s="204"/>
      <c r="AR31" s="204"/>
      <c r="AS31" s="204"/>
      <c r="AT31" s="204"/>
      <c r="AU31" s="204"/>
      <c r="AV31" s="204"/>
      <c r="AW31" s="204"/>
      <c r="AX31" s="204"/>
      <c r="AY31" s="204"/>
      <c r="AZ31" s="204"/>
      <c r="BA31" s="204"/>
      <c r="BB31" s="204"/>
      <c r="BC31" s="204"/>
      <c r="BD31" s="204"/>
      <c r="BE31" s="204"/>
      <c r="BF31" s="204"/>
      <c r="BG31" s="204"/>
      <c r="BH31" s="204"/>
      <c r="BI31" s="204"/>
      <c r="BJ31" s="204"/>
      <c r="BK31" s="204"/>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c r="CM31" s="204"/>
      <c r="CN31" s="204"/>
      <c r="CO31" s="204"/>
      <c r="CP31" s="204"/>
      <c r="CQ31" s="204"/>
      <c r="CR31" s="204"/>
      <c r="CS31" s="204"/>
      <c r="CT31" s="204"/>
      <c r="CU31" s="204"/>
      <c r="CV31" s="204"/>
      <c r="CW31" s="204"/>
      <c r="CX31" s="204"/>
      <c r="CY31" s="204"/>
      <c r="CZ31" s="204"/>
      <c r="DA31" s="204"/>
      <c r="DB31" s="204"/>
      <c r="DC31" s="204"/>
      <c r="DD31" s="194"/>
      <c r="DE31" s="204"/>
      <c r="DF31" s="204"/>
      <c r="DG31" s="204"/>
      <c r="DH31" s="204"/>
      <c r="DI31" s="204"/>
      <c r="DJ31" s="204"/>
      <c r="DK31" s="204"/>
      <c r="DL31" s="204"/>
      <c r="DM31" s="204"/>
      <c r="DN31" s="204"/>
      <c r="DO31" s="204"/>
      <c r="DP31" s="204"/>
      <c r="DQ31" s="204"/>
      <c r="DR31" s="204"/>
      <c r="DS31" s="204"/>
      <c r="DT31" s="204"/>
      <c r="DU31" s="204"/>
      <c r="DV31" s="204"/>
      <c r="DW31" s="204"/>
      <c r="DX31" s="204"/>
      <c r="DY31" s="204"/>
      <c r="DZ31" s="204"/>
      <c r="EA31" s="204"/>
      <c r="EB31" s="204"/>
      <c r="EC31" s="204"/>
      <c r="ED31" s="204"/>
      <c r="EE31" s="204"/>
      <c r="EF31" s="204"/>
      <c r="EG31" s="204"/>
      <c r="EH31" s="204"/>
      <c r="EI31" s="204"/>
      <c r="EJ31" s="204"/>
      <c r="EK31" s="204"/>
      <c r="EL31" s="204"/>
      <c r="EM31" s="204"/>
      <c r="EN31" s="204"/>
      <c r="EO31" s="204"/>
      <c r="EP31" s="204"/>
      <c r="EQ31" s="204"/>
      <c r="ER31" s="204"/>
      <c r="ES31" s="204"/>
      <c r="ET31" s="204"/>
      <c r="EU31" s="204"/>
      <c r="EV31" s="204"/>
      <c r="EW31" s="204"/>
      <c r="EX31" s="204"/>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c r="GC31" s="204"/>
      <c r="GD31" s="204"/>
      <c r="GE31" s="204"/>
      <c r="GF31" s="204"/>
      <c r="GG31" s="204"/>
      <c r="GH31" s="204"/>
      <c r="GI31" s="204"/>
      <c r="GJ31" s="204"/>
      <c r="GK31" s="204"/>
      <c r="GL31" s="204"/>
      <c r="GM31" s="204"/>
      <c r="GN31" s="204"/>
      <c r="GO31" s="204"/>
      <c r="GP31" s="204"/>
      <c r="GQ31" s="204"/>
      <c r="GR31" s="204"/>
      <c r="GS31" s="204"/>
      <c r="GT31" s="204"/>
      <c r="GU31" s="204"/>
      <c r="GV31" s="204"/>
      <c r="GW31" s="204"/>
      <c r="GX31" s="204"/>
      <c r="GY31" s="204"/>
      <c r="GZ31" s="204"/>
      <c r="HA31" s="204"/>
      <c r="HB31" s="204"/>
      <c r="HC31" s="204"/>
      <c r="HD31" s="204"/>
      <c r="HE31" s="204"/>
      <c r="HF31" s="204"/>
      <c r="HG31" s="204"/>
      <c r="HH31" s="204"/>
      <c r="HI31" s="204"/>
      <c r="HJ31" s="204"/>
      <c r="HK31" s="204"/>
      <c r="HL31" s="204"/>
      <c r="HM31" s="204"/>
      <c r="HN31" s="204"/>
      <c r="HO31" s="204"/>
      <c r="HP31" s="204"/>
      <c r="HQ31" s="204"/>
    </row>
    <row r="32" spans="1:225" ht="13.2">
      <c r="A32" s="168"/>
      <c r="B32" s="168"/>
      <c r="C32" s="168">
        <v>4</v>
      </c>
      <c r="D32" s="178" t="s">
        <v>1177</v>
      </c>
      <c r="E32" s="169"/>
      <c r="F32" s="169"/>
      <c r="G32" s="169"/>
      <c r="H32" s="211" t="s">
        <v>1187</v>
      </c>
      <c r="I32" s="169"/>
      <c r="J32" s="169"/>
      <c r="K32" s="169"/>
      <c r="L32" s="169"/>
      <c r="M32" s="146">
        <v>43538</v>
      </c>
      <c r="N32" s="146">
        <v>43542</v>
      </c>
      <c r="O32" s="169"/>
      <c r="P32" s="170">
        <v>14</v>
      </c>
      <c r="Q32" s="170">
        <v>0</v>
      </c>
      <c r="R32" s="171" t="e">
        <f ca="1">IF(M32="","0",(N32-M32+1)-COUNTIFS(INDIRECT(getCalendarRange(O32)),"&gt;=" &amp; M32,INDIRECT(getCalendarRange(O32)),"&lt;=" &amp; N32))</f>
        <v>#NAME?</v>
      </c>
      <c r="S32" s="171" t="e">
        <f ca="1">IF(M32&gt;TODAY(),0,IF(N32&lt;TODAY(),R32,(TODAY()-M32+1)-COUNTIFS(INDIRECT(getCalendarRange(O32)),"&gt;=" &amp; M32,INDIRECT(getCalendarRange(O32)),"&lt;=" &amp; TODAY())))</f>
        <v>#NAME?</v>
      </c>
      <c r="T32" s="146"/>
      <c r="U32" s="146"/>
      <c r="V32" s="172"/>
      <c r="W32" s="173" t="str">
        <f ca="1">IF(U32="","0",IF(T32="","0",(U32-T32+1)-COUNTIFS(INDIRECT(getCalendarRange(O32)),"&gt;=" &amp; T32,INDIRECT(getCalendarRange(O32)),"&lt;=" &amp; U32)))</f>
        <v>0</v>
      </c>
      <c r="X32" s="174">
        <v>1</v>
      </c>
      <c r="Y32" s="210" t="s">
        <v>1189</v>
      </c>
      <c r="Z32" s="213" t="s">
        <v>1188</v>
      </c>
      <c r="AA32" s="176">
        <v>1</v>
      </c>
      <c r="AB32" s="177">
        <v>0</v>
      </c>
      <c r="AD32" s="205"/>
      <c r="AE32" s="204"/>
      <c r="AF32" s="204"/>
      <c r="AG32" s="204"/>
      <c r="AH32" s="204"/>
      <c r="AI32" s="204"/>
      <c r="AJ32" s="204"/>
      <c r="AK32" s="204"/>
      <c r="AL32" s="204"/>
      <c r="AM32" s="204"/>
      <c r="AN32" s="204"/>
      <c r="AO32" s="204"/>
      <c r="AP32" s="204"/>
      <c r="AQ32" s="204"/>
      <c r="AR32" s="204"/>
      <c r="AS32" s="204"/>
      <c r="AT32" s="204"/>
      <c r="AU32" s="204"/>
      <c r="AV32" s="204"/>
      <c r="AW32" s="204"/>
      <c r="AX32" s="204"/>
      <c r="AY32" s="204"/>
      <c r="AZ32" s="204"/>
      <c r="BA32" s="204"/>
      <c r="BB32" s="204"/>
      <c r="BC32" s="204"/>
      <c r="BD32" s="204"/>
      <c r="BE32" s="204"/>
      <c r="BF32" s="204"/>
      <c r="BG32" s="204"/>
      <c r="BH32" s="204"/>
      <c r="BI32" s="204"/>
      <c r="BJ32" s="204"/>
      <c r="BK32" s="204"/>
      <c r="BL32" s="204"/>
      <c r="BM32" s="204"/>
      <c r="BN32" s="204"/>
      <c r="BO32" s="204"/>
      <c r="BP32" s="204"/>
      <c r="BQ32" s="204"/>
      <c r="BR32" s="204"/>
      <c r="BS32" s="204"/>
      <c r="BT32" s="204"/>
      <c r="BU32" s="204"/>
      <c r="BV32" s="204"/>
      <c r="BW32" s="204"/>
      <c r="BX32" s="204"/>
      <c r="BY32" s="204"/>
      <c r="BZ32" s="204"/>
      <c r="CA32" s="204"/>
      <c r="CB32" s="204"/>
      <c r="CC32" s="204"/>
      <c r="CD32" s="204"/>
      <c r="CE32" s="204"/>
      <c r="CF32" s="204"/>
      <c r="CG32" s="204"/>
      <c r="CH32" s="204"/>
      <c r="CI32" s="204"/>
      <c r="CJ32" s="204"/>
      <c r="CK32" s="204"/>
      <c r="CL32" s="204"/>
      <c r="CM32" s="204"/>
      <c r="CN32" s="204"/>
      <c r="CO32" s="204"/>
      <c r="CP32" s="204"/>
      <c r="CQ32" s="204"/>
      <c r="CR32" s="204"/>
      <c r="CS32" s="204"/>
      <c r="CT32" s="204"/>
      <c r="CU32" s="204"/>
      <c r="CV32" s="204"/>
      <c r="CW32" s="204"/>
      <c r="CX32" s="204"/>
      <c r="CY32" s="204"/>
      <c r="CZ32" s="204"/>
      <c r="DA32" s="204"/>
      <c r="DB32" s="204"/>
      <c r="DC32" s="204" t="str">
        <f>H32 &amp; " " &amp; IF(M32="","",TEXT(M32,"M/D-")) &amp; IF(N32="","",TEXT(N32,"M/D")) &amp; " "</f>
        <v xml:space="preserve">화면 정의서 작성 3/14-3/18 </v>
      </c>
      <c r="DD32" s="194" t="str">
        <f>TEXT(AB32,"#0.00%") &amp; " "</f>
        <v xml:space="preserve">0.00% </v>
      </c>
      <c r="DE32" s="204"/>
      <c r="DF32" s="204"/>
      <c r="DG32" s="204"/>
      <c r="DH32" s="204"/>
      <c r="DI32" s="204"/>
      <c r="DJ32" s="204"/>
      <c r="DK32" s="204"/>
      <c r="DL32" s="204"/>
      <c r="DM32" s="204"/>
      <c r="DN32" s="204"/>
      <c r="DO32" s="204"/>
      <c r="DP32" s="204"/>
      <c r="DQ32" s="204"/>
      <c r="DR32" s="204"/>
      <c r="DS32" s="204"/>
      <c r="DT32" s="204"/>
      <c r="DU32" s="204"/>
      <c r="DV32" s="204"/>
      <c r="DW32" s="204"/>
      <c r="DX32" s="204"/>
      <c r="DY32" s="204"/>
      <c r="DZ32" s="204"/>
      <c r="EA32" s="204"/>
      <c r="EB32" s="204"/>
      <c r="EC32" s="204"/>
      <c r="ED32" s="204"/>
      <c r="EE32" s="204"/>
      <c r="EF32" s="204"/>
      <c r="EG32" s="204"/>
      <c r="EH32" s="204"/>
      <c r="EI32" s="204"/>
      <c r="EJ32" s="204"/>
      <c r="EK32" s="204"/>
      <c r="EL32" s="204"/>
      <c r="EM32" s="204"/>
      <c r="EN32" s="204"/>
      <c r="EO32" s="204"/>
      <c r="EP32" s="204"/>
      <c r="EQ32" s="204"/>
      <c r="ER32" s="204"/>
      <c r="ES32" s="204"/>
      <c r="ET32" s="204"/>
      <c r="EU32" s="204"/>
      <c r="EV32" s="204"/>
      <c r="EW32" s="204"/>
      <c r="EX32" s="204"/>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c r="GC32" s="204"/>
      <c r="GD32" s="204"/>
      <c r="GE32" s="204"/>
      <c r="GF32" s="204"/>
      <c r="GG32" s="204"/>
      <c r="GH32" s="204"/>
      <c r="GI32" s="204"/>
      <c r="GJ32" s="204"/>
      <c r="GK32" s="204"/>
      <c r="GL32" s="204"/>
      <c r="GM32" s="204"/>
      <c r="GN32" s="204"/>
      <c r="GO32" s="204"/>
      <c r="GP32" s="204"/>
      <c r="GQ32" s="204"/>
      <c r="GR32" s="204"/>
      <c r="GS32" s="204"/>
      <c r="GT32" s="204"/>
      <c r="GU32" s="204"/>
      <c r="GV32" s="204"/>
      <c r="GW32" s="204"/>
      <c r="GX32" s="204"/>
      <c r="GY32" s="204"/>
      <c r="GZ32" s="204"/>
      <c r="HA32" s="204"/>
      <c r="HB32" s="204"/>
      <c r="HC32" s="204"/>
      <c r="HD32" s="204"/>
      <c r="HE32" s="204"/>
      <c r="HF32" s="204"/>
      <c r="HG32" s="204"/>
      <c r="HH32" s="204"/>
      <c r="HI32" s="204"/>
      <c r="HJ32" s="204"/>
      <c r="HK32" s="204"/>
      <c r="HL32" s="204"/>
      <c r="HM32" s="204"/>
      <c r="HN32" s="204"/>
      <c r="HO32" s="204"/>
      <c r="HP32" s="204"/>
      <c r="HQ32" s="204"/>
    </row>
    <row r="33" spans="1:225" ht="13.2">
      <c r="A33" s="168"/>
      <c r="B33" s="168"/>
      <c r="C33" s="168">
        <v>4</v>
      </c>
      <c r="D33" s="178" t="s">
        <v>1177</v>
      </c>
      <c r="E33" s="169"/>
      <c r="F33" s="169"/>
      <c r="G33" s="169"/>
      <c r="H33" s="211" t="s">
        <v>1190</v>
      </c>
      <c r="I33" s="169"/>
      <c r="J33" s="169"/>
      <c r="K33" s="169"/>
      <c r="L33" s="169"/>
      <c r="M33" s="146">
        <v>43542</v>
      </c>
      <c r="N33" s="146">
        <v>43544</v>
      </c>
      <c r="O33" s="169"/>
      <c r="P33" s="170">
        <v>14</v>
      </c>
      <c r="Q33" s="170">
        <v>0</v>
      </c>
      <c r="R33" s="171" t="e">
        <f ca="1">IF(M33="","0",(N33-M33+1)-COUNTIFS(INDIRECT(getCalendarRange(O33)),"&gt;=" &amp; M33,INDIRECT(getCalendarRange(O33)),"&lt;=" &amp; N33))</f>
        <v>#NAME?</v>
      </c>
      <c r="S33" s="171" t="e">
        <f ca="1">IF(M33&gt;TODAY(),0,IF(N33&lt;TODAY(),R33,(TODAY()-M33+1)-COUNTIFS(INDIRECT(getCalendarRange(O33)),"&gt;=" &amp; M33,INDIRECT(getCalendarRange(O33)),"&lt;=" &amp; TODAY())))</f>
        <v>#NAME?</v>
      </c>
      <c r="T33" s="146"/>
      <c r="U33" s="146"/>
      <c r="V33" s="172"/>
      <c r="W33" s="173" t="str">
        <f ca="1">IF(U33="","0",IF(T33="","0",(U33-T33+1)-COUNTIFS(INDIRECT(getCalendarRange(O33)),"&gt;=" &amp; T33,INDIRECT(getCalendarRange(O33)),"&lt;=" &amp; U33)))</f>
        <v>0</v>
      </c>
      <c r="X33" s="174">
        <v>1</v>
      </c>
      <c r="Y33" s="210" t="s">
        <v>1189</v>
      </c>
      <c r="Z33" s="213" t="s">
        <v>1191</v>
      </c>
      <c r="AA33" s="176">
        <v>0.13</v>
      </c>
      <c r="AB33" s="177">
        <v>0</v>
      </c>
      <c r="AD33" s="205"/>
      <c r="AE33" s="204"/>
      <c r="AF33" s="204"/>
      <c r="AG33" s="204"/>
      <c r="AH33" s="204"/>
      <c r="AI33" s="204"/>
      <c r="AJ33" s="204"/>
      <c r="AK33" s="204"/>
      <c r="AL33" s="204"/>
      <c r="AM33" s="204"/>
      <c r="AN33" s="204"/>
      <c r="AO33" s="204"/>
      <c r="AP33" s="204"/>
      <c r="AQ33" s="204"/>
      <c r="AR33" s="204"/>
      <c r="AS33" s="204"/>
      <c r="AT33" s="204"/>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c r="DA33" s="204"/>
      <c r="DB33" s="204"/>
      <c r="DC33" s="204" t="str">
        <f>H33 &amp; " " &amp; IF(M33="","",TEXT(M33,"M/D-")) &amp; IF(N33="","",TEXT(N33,"M/D")) &amp; " "</f>
        <v xml:space="preserve">스토리보드 작성 3/18-3/20 </v>
      </c>
      <c r="DD33" s="194" t="str">
        <f>TEXT(AB33,"#0.00%") &amp; " "</f>
        <v xml:space="preserve">0.00% </v>
      </c>
      <c r="DE33" s="204"/>
      <c r="DF33" s="204"/>
      <c r="DG33" s="204"/>
      <c r="DH33" s="204"/>
      <c r="DI33" s="204"/>
      <c r="DJ33" s="204"/>
      <c r="DK33" s="204"/>
      <c r="DL33" s="204"/>
      <c r="DM33" s="204"/>
      <c r="DN33" s="204"/>
      <c r="DO33" s="204"/>
      <c r="DP33" s="204"/>
      <c r="DQ33" s="204"/>
      <c r="DR33" s="204"/>
      <c r="DS33" s="204"/>
      <c r="DT33" s="204"/>
      <c r="DU33" s="204"/>
      <c r="DV33" s="204"/>
      <c r="DW33" s="204"/>
      <c r="DX33" s="204"/>
      <c r="DY33" s="204"/>
      <c r="DZ33" s="204"/>
      <c r="EA33" s="204"/>
      <c r="EB33" s="204"/>
      <c r="EC33" s="204"/>
      <c r="ED33" s="204"/>
      <c r="EE33" s="204"/>
      <c r="EF33" s="204"/>
      <c r="EG33" s="204"/>
      <c r="EH33" s="204"/>
      <c r="EI33" s="204"/>
      <c r="EJ33" s="204"/>
      <c r="EK33" s="204"/>
      <c r="EL33" s="204"/>
      <c r="EM33" s="204"/>
      <c r="EN33" s="204"/>
      <c r="EO33" s="204"/>
      <c r="EP33" s="204"/>
      <c r="EQ33" s="204"/>
      <c r="ER33" s="204"/>
      <c r="ES33" s="204"/>
      <c r="ET33" s="204"/>
      <c r="EU33" s="204"/>
      <c r="EV33" s="204"/>
      <c r="EW33" s="204"/>
      <c r="EX33" s="204"/>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c r="GC33" s="204"/>
      <c r="GD33" s="204"/>
      <c r="GE33" s="204"/>
      <c r="GF33" s="204"/>
      <c r="GG33" s="204"/>
      <c r="GH33" s="204"/>
      <c r="GI33" s="204"/>
      <c r="GJ33" s="204"/>
      <c r="GK33" s="204"/>
      <c r="GL33" s="204"/>
      <c r="GM33" s="204"/>
      <c r="GN33" s="204"/>
      <c r="GO33" s="204"/>
      <c r="GP33" s="204"/>
      <c r="GQ33" s="204"/>
      <c r="GR33" s="204"/>
      <c r="GS33" s="204"/>
      <c r="GT33" s="204"/>
      <c r="GU33" s="204"/>
      <c r="GV33" s="204"/>
      <c r="GW33" s="204"/>
      <c r="GX33" s="204"/>
      <c r="GY33" s="204"/>
      <c r="GZ33" s="204"/>
      <c r="HA33" s="204"/>
      <c r="HB33" s="204"/>
      <c r="HC33" s="204"/>
      <c r="HD33" s="204"/>
      <c r="HE33" s="204"/>
      <c r="HF33" s="204"/>
      <c r="HG33" s="204"/>
      <c r="HH33" s="204"/>
      <c r="HI33" s="204"/>
      <c r="HJ33" s="204"/>
      <c r="HK33" s="204"/>
      <c r="HL33" s="204"/>
      <c r="HM33" s="204"/>
      <c r="HN33" s="204"/>
      <c r="HO33" s="204"/>
      <c r="HP33" s="204"/>
      <c r="HQ33" s="204"/>
    </row>
    <row r="34" spans="1:225" ht="13.2">
      <c r="A34" s="168"/>
      <c r="B34" s="168"/>
      <c r="C34" s="168">
        <v>3</v>
      </c>
      <c r="D34" s="178" t="s">
        <v>1044</v>
      </c>
      <c r="E34" s="169"/>
      <c r="F34" s="169"/>
      <c r="G34" s="169" t="s">
        <v>976</v>
      </c>
      <c r="H34" s="169"/>
      <c r="I34" s="169"/>
      <c r="J34" s="169"/>
      <c r="K34" s="169"/>
      <c r="L34" s="169"/>
      <c r="M34" s="146">
        <v>43544</v>
      </c>
      <c r="N34" s="146">
        <v>43544</v>
      </c>
      <c r="O34" s="169"/>
      <c r="P34" s="170">
        <v>5</v>
      </c>
      <c r="Q34" s="170">
        <v>0</v>
      </c>
      <c r="R34" s="171" t="e">
        <f ca="1">IF(M34="","0",(N34-M34+1)-COUNTIFS(INDIRECT(getCalendarRange(O34)),"&gt;=" &amp; M34,INDIRECT(getCalendarRange(O34)),"&lt;=" &amp; N34))</f>
        <v>#NAME?</v>
      </c>
      <c r="S34" s="171">
        <f ca="1">IF(M34&gt;TODAY(),0,IF(N34&lt;TODAY(),R34,(TODAY()-M34+1)-COUNTIFS(INDIRECT(getCalendarRange(O34)),"&gt;=" &amp; M34,INDIRECT(getCalendarRange(O34)),"&lt;=" &amp; TODAY())))</f>
        <v>0</v>
      </c>
      <c r="T34" s="146"/>
      <c r="U34" s="146"/>
      <c r="V34" s="172"/>
      <c r="W34" s="173" t="str">
        <f ca="1">IF(U34="","0",IF(T34="","0",(U34-T34+1)-COUNTIFS(INDIRECT(getCalendarRange(O34)),"&gt;=" &amp; T34,INDIRECT(getCalendarRange(O34)),"&lt;=" &amp; U34)))</f>
        <v>0</v>
      </c>
      <c r="X34" s="174">
        <v>1</v>
      </c>
      <c r="Y34" s="211" t="s">
        <v>1179</v>
      </c>
      <c r="Z34" s="175"/>
      <c r="AA34" s="176">
        <v>0</v>
      </c>
      <c r="AB34" s="177">
        <v>0</v>
      </c>
      <c r="AD34" s="205"/>
      <c r="AE34" s="204"/>
      <c r="AF34" s="204"/>
      <c r="AG34" s="204"/>
      <c r="AH34" s="204"/>
      <c r="AI34" s="204"/>
      <c r="AJ34" s="204"/>
      <c r="AK34" s="204"/>
      <c r="AL34" s="204"/>
      <c r="AM34" s="204"/>
      <c r="AN34" s="204"/>
      <c r="AO34" s="204"/>
      <c r="AP34" s="204"/>
      <c r="AQ34" s="204"/>
      <c r="AR34" s="204"/>
      <c r="AS34" s="204"/>
      <c r="AT34" s="204"/>
      <c r="AU34" s="204"/>
      <c r="AV34" s="204"/>
      <c r="AW34" s="204"/>
      <c r="AX34" s="204"/>
      <c r="AY34" s="204"/>
      <c r="AZ34" s="204"/>
      <c r="BA34" s="204"/>
      <c r="BB34" s="204"/>
      <c r="BC34" s="204"/>
      <c r="BD34" s="204"/>
      <c r="BE34" s="204"/>
      <c r="BF34" s="204"/>
      <c r="BG34" s="204"/>
      <c r="BH34" s="204"/>
      <c r="BI34" s="204"/>
      <c r="BJ34" s="204"/>
      <c r="BK34" s="204"/>
      <c r="BL34" s="204"/>
      <c r="BM34" s="204"/>
      <c r="BN34" s="204"/>
      <c r="BO34" s="204"/>
      <c r="BP34" s="204"/>
      <c r="BQ34" s="204"/>
      <c r="BR34" s="204"/>
      <c r="BS34" s="204"/>
      <c r="BT34" s="204"/>
      <c r="BU34" s="204"/>
      <c r="BV34" s="204"/>
      <c r="BW34" s="204"/>
      <c r="BX34" s="204"/>
      <c r="BY34" s="204"/>
      <c r="BZ34" s="204"/>
      <c r="CA34" s="204"/>
      <c r="CB34" s="204"/>
      <c r="CC34" s="204"/>
      <c r="CD34" s="204"/>
      <c r="CE34" s="204"/>
      <c r="CF34" s="204"/>
      <c r="CG34" s="204"/>
      <c r="CH34" s="204"/>
      <c r="CI34" s="204"/>
      <c r="CJ34" s="204"/>
      <c r="CK34" s="204"/>
      <c r="CL34" s="204"/>
      <c r="CM34" s="204"/>
      <c r="CN34" s="204"/>
      <c r="CO34" s="204"/>
      <c r="CP34" s="204"/>
      <c r="CQ34" s="204"/>
      <c r="CR34" s="204"/>
      <c r="CS34" s="204"/>
      <c r="CT34" s="204"/>
      <c r="CU34" s="204"/>
      <c r="CV34" s="204"/>
      <c r="CW34" s="204"/>
      <c r="CX34" s="204"/>
      <c r="CY34" s="204"/>
      <c r="CZ34" s="204"/>
      <c r="DA34" s="204"/>
      <c r="DB34" s="204"/>
      <c r="DC34" s="204"/>
      <c r="DD34" s="204"/>
      <c r="DE34" s="204"/>
      <c r="DF34" s="204"/>
      <c r="DG34" s="204"/>
      <c r="DH34" s="204"/>
      <c r="DI34" s="204"/>
      <c r="DJ34" s="204"/>
      <c r="DK34" s="204"/>
      <c r="DL34" s="204"/>
      <c r="DM34" s="204"/>
      <c r="DN34" s="204"/>
      <c r="DO34" s="204"/>
      <c r="DP34" s="204"/>
      <c r="DQ34" s="204"/>
      <c r="DR34" s="204"/>
      <c r="DS34" s="204"/>
      <c r="DT34" s="204"/>
      <c r="DU34" s="204"/>
      <c r="DV34" s="204"/>
      <c r="DW34" s="204"/>
      <c r="DX34" s="204" t="str">
        <f>G34 &amp; " " &amp; IF(M34="","",TEXT(M34,"M/D-")) &amp; IF(N34="","",TEXT(N34,"M/D")) &amp; " "</f>
        <v xml:space="preserve">테스트 설계 3/20-3/20 </v>
      </c>
      <c r="DY34" s="194" t="str">
        <f t="shared" ref="DY34:DY39" si="0">TEXT(AB34,"#0.00%") &amp; " "</f>
        <v xml:space="preserve">0.00% </v>
      </c>
      <c r="DZ34" s="204"/>
      <c r="EA34" s="204"/>
      <c r="EB34" s="204"/>
      <c r="EC34" s="204"/>
      <c r="ED34" s="204"/>
      <c r="EE34" s="204"/>
      <c r="EF34" s="204"/>
      <c r="EG34" s="204"/>
      <c r="EH34" s="204"/>
      <c r="EI34" s="204"/>
      <c r="EJ34" s="204"/>
      <c r="EK34" s="204"/>
      <c r="EL34" s="204"/>
      <c r="EM34" s="204"/>
      <c r="EN34" s="204"/>
      <c r="EO34" s="204"/>
      <c r="EP34" s="204"/>
      <c r="EQ34" s="204"/>
      <c r="ER34" s="204"/>
      <c r="ES34" s="204"/>
      <c r="ET34" s="204"/>
      <c r="EU34" s="204"/>
      <c r="EV34" s="204"/>
      <c r="EW34" s="204"/>
      <c r="EX34" s="204"/>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c r="GC34" s="204"/>
      <c r="GD34" s="204"/>
      <c r="GE34" s="204"/>
      <c r="GF34" s="204"/>
      <c r="GG34" s="204"/>
      <c r="GH34" s="204"/>
      <c r="GI34" s="204"/>
      <c r="GJ34" s="204"/>
      <c r="GK34" s="204"/>
      <c r="GL34" s="204"/>
      <c r="GM34" s="204"/>
      <c r="GN34" s="204"/>
      <c r="GO34" s="204"/>
      <c r="GP34" s="204"/>
      <c r="GQ34" s="204"/>
      <c r="GR34" s="204"/>
      <c r="GS34" s="204"/>
      <c r="GT34" s="204"/>
      <c r="GU34" s="204"/>
      <c r="GV34" s="204"/>
      <c r="GW34" s="204"/>
      <c r="GX34" s="204"/>
      <c r="GY34" s="204"/>
      <c r="GZ34" s="204"/>
      <c r="HA34" s="204"/>
      <c r="HB34" s="204"/>
      <c r="HC34" s="204"/>
      <c r="HD34" s="204"/>
      <c r="HE34" s="204"/>
      <c r="HF34" s="204"/>
      <c r="HG34" s="204"/>
      <c r="HH34" s="204"/>
      <c r="HI34" s="204"/>
      <c r="HJ34" s="204"/>
      <c r="HK34" s="204"/>
      <c r="HL34" s="204"/>
      <c r="HM34" s="204"/>
      <c r="HN34" s="204"/>
      <c r="HO34" s="204"/>
      <c r="HP34" s="204"/>
      <c r="HQ34" s="204"/>
    </row>
    <row r="35" spans="1:225">
      <c r="A35" s="168"/>
      <c r="B35" s="168" t="s">
        <v>1069</v>
      </c>
      <c r="C35" s="168">
        <v>2</v>
      </c>
      <c r="D35" s="178" t="s">
        <v>1080</v>
      </c>
      <c r="E35" s="169"/>
      <c r="F35" s="169" t="s">
        <v>977</v>
      </c>
      <c r="G35" s="169"/>
      <c r="H35" s="169"/>
      <c r="I35" s="169"/>
      <c r="J35" s="169"/>
      <c r="K35" s="169"/>
      <c r="L35" s="169"/>
      <c r="M35" s="146">
        <v>43544</v>
      </c>
      <c r="N35" s="146">
        <v>43617</v>
      </c>
      <c r="O35" s="169"/>
      <c r="P35" s="170">
        <v>163</v>
      </c>
      <c r="Q35" s="170">
        <v>0</v>
      </c>
      <c r="R35" s="171" t="e">
        <f ca="1">IF(M35="","0",(N35-M35+1)-COUNTIFS(INDIRECT(getCalendarRange(O35)),"&gt;=" &amp; M35,INDIRECT(getCalendarRange(O35)),"&lt;=" &amp; N35))</f>
        <v>#NAME?</v>
      </c>
      <c r="S35" s="171">
        <f ca="1">IF(M35&gt;TODAY(),0,IF(N35&lt;TODAY(),R35,(TODAY()-M35+1)-COUNTIFS(INDIRECT(getCalendarRange(O35)),"&gt;=" &amp; M35,INDIRECT(getCalendarRange(O35)),"&lt;=" &amp; TODAY())))</f>
        <v>0</v>
      </c>
      <c r="T35" s="146"/>
      <c r="U35" s="146"/>
      <c r="V35" s="172">
        <v>0</v>
      </c>
      <c r="W35" s="173" t="str">
        <f ca="1">IF(U35="","0",IF(T35="","0",(U35-T35+1)-COUNTIFS(INDIRECT(getCalendarRange(O35)),"&gt;=" &amp; T35,INDIRECT(getCalendarRange(O35)),"&lt;=" &amp; U35)))</f>
        <v>0</v>
      </c>
      <c r="X35" s="174">
        <v>1</v>
      </c>
      <c r="Y35" s="169"/>
      <c r="Z35" s="175"/>
      <c r="AA35" s="176">
        <v>0</v>
      </c>
      <c r="AB35" s="177">
        <v>0</v>
      </c>
      <c r="AD35" s="205"/>
      <c r="AE35" s="204"/>
      <c r="AF35" s="204"/>
      <c r="AG35" s="204"/>
      <c r="AH35" s="204"/>
      <c r="AI35" s="204"/>
      <c r="AJ35" s="204"/>
      <c r="AK35" s="204"/>
      <c r="AL35" s="204"/>
      <c r="AM35" s="204"/>
      <c r="AN35" s="204"/>
      <c r="AO35" s="204"/>
      <c r="AP35" s="204"/>
      <c r="AQ35" s="204"/>
      <c r="AR35" s="204"/>
      <c r="AS35" s="204"/>
      <c r="AT35" s="204"/>
      <c r="AU35" s="204"/>
      <c r="AV35" s="204"/>
      <c r="AW35" s="204"/>
      <c r="AX35" s="204"/>
      <c r="AY35" s="204"/>
      <c r="AZ35" s="204"/>
      <c r="BA35" s="204"/>
      <c r="BB35" s="204"/>
      <c r="BC35" s="204"/>
      <c r="BD35" s="204"/>
      <c r="BE35" s="204"/>
      <c r="BF35" s="204"/>
      <c r="BG35" s="204"/>
      <c r="BH35" s="204"/>
      <c r="BI35" s="204"/>
      <c r="BJ35" s="204"/>
      <c r="BK35" s="204"/>
      <c r="BL35" s="204"/>
      <c r="BM35" s="204"/>
      <c r="BN35" s="204"/>
      <c r="BO35" s="204"/>
      <c r="BP35" s="204"/>
      <c r="BQ35" s="204"/>
      <c r="BR35" s="204"/>
      <c r="BS35" s="204"/>
      <c r="BT35" s="204"/>
      <c r="BU35" s="204"/>
      <c r="BV35" s="204"/>
      <c r="BW35" s="204"/>
      <c r="BX35" s="204"/>
      <c r="BY35" s="204"/>
      <c r="BZ35" s="204"/>
      <c r="CA35" s="204"/>
      <c r="CB35" s="204"/>
      <c r="CC35" s="204"/>
      <c r="CD35" s="204"/>
      <c r="CE35" s="204"/>
      <c r="CF35" s="204"/>
      <c r="CG35" s="204"/>
      <c r="CH35" s="204"/>
      <c r="CI35" s="204"/>
      <c r="CJ35" s="204"/>
      <c r="CK35" s="204"/>
      <c r="CL35" s="204"/>
      <c r="CM35" s="204"/>
      <c r="CN35" s="204"/>
      <c r="CO35" s="204"/>
      <c r="CP35" s="204"/>
      <c r="CQ35" s="204"/>
      <c r="CR35" s="204"/>
      <c r="CS35" s="204"/>
      <c r="CT35" s="204"/>
      <c r="CU35" s="204"/>
      <c r="CV35" s="204"/>
      <c r="CW35" s="204"/>
      <c r="CX35" s="204"/>
      <c r="CY35" s="204"/>
      <c r="CZ35" s="204"/>
      <c r="DA35" s="204"/>
      <c r="DB35" s="204"/>
      <c r="DC35" s="204"/>
      <c r="DD35" s="204"/>
      <c r="DE35" s="204"/>
      <c r="DF35" s="204"/>
      <c r="DG35" s="204"/>
      <c r="DH35" s="204"/>
      <c r="DI35" s="204"/>
      <c r="DJ35" s="204"/>
      <c r="DK35" s="204"/>
      <c r="DL35" s="204"/>
      <c r="DM35" s="204"/>
      <c r="DN35" s="204"/>
      <c r="DO35" s="204"/>
      <c r="DP35" s="204"/>
      <c r="DQ35" s="204"/>
      <c r="DR35" s="204"/>
      <c r="DS35" s="204"/>
      <c r="DT35" s="204"/>
      <c r="DU35" s="204"/>
      <c r="DV35" s="204"/>
      <c r="DW35" s="204"/>
      <c r="DX35" s="204" t="str">
        <f>F35 &amp; " " &amp; IF(M35="","",TEXT(M35,"M/D-")) &amp; IF(N35="","",TEXT(N35,"M/D")) &amp; " "</f>
        <v xml:space="preserve">개발 3/20-6/1 </v>
      </c>
      <c r="DY35" s="194" t="str">
        <f t="shared" si="0"/>
        <v xml:space="preserve">0.00% </v>
      </c>
      <c r="DZ35" s="204"/>
      <c r="EA35" s="204"/>
      <c r="EB35" s="204"/>
      <c r="EC35" s="204"/>
      <c r="ED35" s="204"/>
      <c r="EE35" s="204"/>
      <c r="EF35" s="204"/>
      <c r="EG35" s="204"/>
      <c r="EH35" s="204"/>
      <c r="EI35" s="204"/>
      <c r="EJ35" s="204"/>
      <c r="EK35" s="204"/>
      <c r="EL35" s="204"/>
      <c r="EM35" s="204"/>
      <c r="EN35" s="204"/>
      <c r="EO35" s="204"/>
      <c r="EP35" s="204"/>
      <c r="EQ35" s="204"/>
      <c r="ER35" s="204"/>
      <c r="ES35" s="204"/>
      <c r="ET35" s="204"/>
      <c r="EU35" s="204"/>
      <c r="EV35" s="204"/>
      <c r="EW35" s="204"/>
      <c r="EX35" s="204"/>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c r="GC35" s="204"/>
      <c r="GD35" s="204"/>
      <c r="GE35" s="204"/>
      <c r="GF35" s="204"/>
      <c r="GG35" s="204"/>
      <c r="GH35" s="204"/>
      <c r="GI35" s="204"/>
      <c r="GJ35" s="204"/>
      <c r="GK35" s="204"/>
      <c r="GL35" s="204"/>
      <c r="GM35" s="204"/>
      <c r="GN35" s="204"/>
      <c r="GO35" s="204"/>
      <c r="GP35" s="204"/>
      <c r="GQ35" s="204"/>
      <c r="GR35" s="204"/>
      <c r="GS35" s="204"/>
      <c r="GT35" s="204"/>
      <c r="GU35" s="204"/>
      <c r="GV35" s="204"/>
      <c r="GW35" s="204"/>
      <c r="GX35" s="204"/>
      <c r="GY35" s="204"/>
      <c r="GZ35" s="204"/>
      <c r="HA35" s="204"/>
      <c r="HB35" s="204"/>
      <c r="HC35" s="204"/>
      <c r="HD35" s="204"/>
      <c r="HE35" s="204"/>
      <c r="HF35" s="204"/>
      <c r="HG35" s="204"/>
      <c r="HH35" s="204"/>
      <c r="HI35" s="204"/>
      <c r="HJ35" s="204"/>
      <c r="HK35" s="204"/>
      <c r="HL35" s="204"/>
      <c r="HM35" s="204"/>
      <c r="HN35" s="204"/>
      <c r="HO35" s="204"/>
      <c r="HP35" s="204"/>
      <c r="HQ35" s="204"/>
    </row>
    <row r="36" spans="1:225">
      <c r="A36" s="168"/>
      <c r="B36" s="168" t="s">
        <v>1069</v>
      </c>
      <c r="C36" s="168">
        <v>3</v>
      </c>
      <c r="D36" s="178" t="s">
        <v>1081</v>
      </c>
      <c r="E36" s="169"/>
      <c r="F36" s="169"/>
      <c r="G36" s="169" t="s">
        <v>978</v>
      </c>
      <c r="H36" s="169"/>
      <c r="I36" s="169"/>
      <c r="J36" s="169"/>
      <c r="K36" s="169"/>
      <c r="L36" s="169"/>
      <c r="M36" s="146">
        <v>43544</v>
      </c>
      <c r="N36" s="146">
        <v>43617</v>
      </c>
      <c r="O36" s="169"/>
      <c r="P36" s="170">
        <v>143</v>
      </c>
      <c r="Q36" s="170">
        <v>0</v>
      </c>
      <c r="R36" s="171" t="e">
        <f ca="1">IF(M36="","0",(N36-M36+1)-COUNTIFS(INDIRECT(getCalendarRange(O36)),"&gt;=" &amp; M36,INDIRECT(getCalendarRange(O36)),"&lt;=" &amp; N36))</f>
        <v>#NAME?</v>
      </c>
      <c r="S36" s="171">
        <f ca="1">IF(M36&gt;TODAY(),0,IF(N36&lt;TODAY(),R36,(TODAY()-M36+1)-COUNTIFS(INDIRECT(getCalendarRange(O36)),"&gt;=" &amp; M36,INDIRECT(getCalendarRange(O36)),"&lt;=" &amp; TODAY())))</f>
        <v>0</v>
      </c>
      <c r="T36" s="146"/>
      <c r="U36" s="146"/>
      <c r="V36" s="172">
        <v>0</v>
      </c>
      <c r="W36" s="173" t="str">
        <f ca="1">IF(U36="","0",IF(T36="","0",(U36-T36+1)-COUNTIFS(INDIRECT(getCalendarRange(O36)),"&gt;=" &amp; T36,INDIRECT(getCalendarRange(O36)),"&lt;=" &amp; U36)))</f>
        <v>0</v>
      </c>
      <c r="X36" s="174">
        <v>1</v>
      </c>
      <c r="Y36" s="169"/>
      <c r="Z36" s="175"/>
      <c r="AA36" s="176">
        <v>0</v>
      </c>
      <c r="AB36" s="177">
        <v>0</v>
      </c>
      <c r="AD36" s="205"/>
      <c r="AE36" s="204"/>
      <c r="AF36" s="204"/>
      <c r="AG36" s="204"/>
      <c r="AH36" s="204"/>
      <c r="AI36" s="204"/>
      <c r="AJ36" s="204"/>
      <c r="AK36" s="204"/>
      <c r="AL36" s="204"/>
      <c r="AM36" s="204"/>
      <c r="AN36" s="204"/>
      <c r="AO36" s="204"/>
      <c r="AP36" s="204"/>
      <c r="AQ36" s="204"/>
      <c r="AR36" s="204"/>
      <c r="AS36" s="204"/>
      <c r="AT36" s="204"/>
      <c r="AU36" s="204"/>
      <c r="AV36" s="204"/>
      <c r="AW36" s="204"/>
      <c r="AX36" s="204"/>
      <c r="AY36" s="204"/>
      <c r="AZ36" s="204"/>
      <c r="BA36" s="204"/>
      <c r="BB36" s="204"/>
      <c r="BC36" s="204"/>
      <c r="BD36" s="204"/>
      <c r="BE36" s="204"/>
      <c r="BF36" s="204"/>
      <c r="BG36" s="204"/>
      <c r="BH36" s="204"/>
      <c r="BI36" s="204"/>
      <c r="BJ36" s="204"/>
      <c r="BK36" s="204"/>
      <c r="BL36" s="204"/>
      <c r="BM36" s="204"/>
      <c r="BN36" s="204"/>
      <c r="BO36" s="204"/>
      <c r="BP36" s="204"/>
      <c r="BQ36" s="204"/>
      <c r="BR36" s="204"/>
      <c r="BS36" s="204"/>
      <c r="BT36" s="204"/>
      <c r="BU36" s="204"/>
      <c r="BV36" s="204"/>
      <c r="BW36" s="204"/>
      <c r="BX36" s="204"/>
      <c r="BY36" s="204"/>
      <c r="BZ36" s="204"/>
      <c r="CA36" s="204"/>
      <c r="CB36" s="204"/>
      <c r="CC36" s="204"/>
      <c r="CD36" s="204"/>
      <c r="CE36" s="204"/>
      <c r="CF36" s="204"/>
      <c r="CG36" s="204"/>
      <c r="CH36" s="204"/>
      <c r="CI36" s="204"/>
      <c r="CJ36" s="204"/>
      <c r="CK36" s="204"/>
      <c r="CL36" s="204"/>
      <c r="CM36" s="204"/>
      <c r="CN36" s="204"/>
      <c r="CO36" s="204"/>
      <c r="CP36" s="204"/>
      <c r="CQ36" s="204"/>
      <c r="CR36" s="204"/>
      <c r="CS36" s="204"/>
      <c r="CT36" s="204"/>
      <c r="CU36" s="204"/>
      <c r="CV36" s="204"/>
      <c r="CW36" s="204"/>
      <c r="CX36" s="204"/>
      <c r="CY36" s="204"/>
      <c r="CZ36" s="204"/>
      <c r="DA36" s="204"/>
      <c r="DB36" s="204"/>
      <c r="DC36" s="204"/>
      <c r="DD36" s="204"/>
      <c r="DE36" s="204"/>
      <c r="DF36" s="204"/>
      <c r="DG36" s="204"/>
      <c r="DH36" s="204"/>
      <c r="DI36" s="204"/>
      <c r="DJ36" s="204"/>
      <c r="DK36" s="204"/>
      <c r="DL36" s="204"/>
      <c r="DM36" s="204"/>
      <c r="DN36" s="204"/>
      <c r="DO36" s="204"/>
      <c r="DP36" s="204"/>
      <c r="DQ36" s="204"/>
      <c r="DR36" s="204"/>
      <c r="DS36" s="204"/>
      <c r="DT36" s="204"/>
      <c r="DU36" s="204"/>
      <c r="DV36" s="204"/>
      <c r="DW36" s="204"/>
      <c r="DX36" s="204" t="str">
        <f>G36 &amp; " " &amp; IF(M36="","",TEXT(M36,"M/D-")) &amp; IF(N36="","",TEXT(N36,"M/D")) &amp; " "</f>
        <v xml:space="preserve">프로그램 개발 3/20-6/1 </v>
      </c>
      <c r="DY36" s="194" t="str">
        <f t="shared" si="0"/>
        <v xml:space="preserve">0.00% </v>
      </c>
      <c r="DZ36" s="204"/>
      <c r="EA36" s="204"/>
      <c r="EB36" s="204"/>
      <c r="EC36" s="204"/>
      <c r="ED36" s="204"/>
      <c r="EE36" s="204"/>
      <c r="EF36" s="204"/>
      <c r="EG36" s="204"/>
      <c r="EH36" s="204"/>
      <c r="EI36" s="204"/>
      <c r="EJ36" s="204"/>
      <c r="EK36" s="204"/>
      <c r="EL36" s="204"/>
      <c r="EM36" s="204"/>
      <c r="EN36" s="204"/>
      <c r="EO36" s="204"/>
      <c r="EP36" s="204"/>
      <c r="EQ36" s="204"/>
      <c r="ER36" s="204"/>
      <c r="ES36" s="204"/>
      <c r="ET36" s="204"/>
      <c r="EU36" s="204"/>
      <c r="EV36" s="204"/>
      <c r="EW36" s="204"/>
      <c r="EX36" s="204"/>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c r="GC36" s="204"/>
      <c r="GD36" s="204"/>
      <c r="GE36" s="204"/>
      <c r="GF36" s="204"/>
      <c r="GG36" s="204"/>
      <c r="GH36" s="204"/>
      <c r="GI36" s="204"/>
      <c r="GJ36" s="204"/>
      <c r="GK36" s="204"/>
      <c r="GL36" s="204"/>
      <c r="GM36" s="204"/>
      <c r="GN36" s="204"/>
      <c r="GO36" s="204"/>
      <c r="GP36" s="204"/>
      <c r="GQ36" s="204"/>
      <c r="GR36" s="204"/>
      <c r="GS36" s="204"/>
      <c r="GT36" s="204"/>
      <c r="GU36" s="204"/>
      <c r="GV36" s="204"/>
      <c r="GW36" s="204"/>
      <c r="GX36" s="204"/>
      <c r="GY36" s="204"/>
      <c r="GZ36" s="204"/>
      <c r="HA36" s="204"/>
      <c r="HB36" s="204"/>
      <c r="HC36" s="204"/>
      <c r="HD36" s="204"/>
      <c r="HE36" s="204"/>
      <c r="HF36" s="204"/>
      <c r="HG36" s="204"/>
      <c r="HH36" s="204"/>
      <c r="HI36" s="204"/>
      <c r="HJ36" s="204"/>
      <c r="HK36" s="204"/>
      <c r="HL36" s="204"/>
      <c r="HM36" s="204"/>
      <c r="HN36" s="204"/>
      <c r="HO36" s="204"/>
      <c r="HP36" s="204"/>
      <c r="HQ36" s="204"/>
    </row>
    <row r="37" spans="1:225" ht="13.2">
      <c r="A37" s="168"/>
      <c r="B37" s="168"/>
      <c r="C37" s="168">
        <v>4</v>
      </c>
      <c r="D37" s="178" t="s">
        <v>1045</v>
      </c>
      <c r="E37" s="169"/>
      <c r="F37" s="169"/>
      <c r="G37" s="169"/>
      <c r="H37" s="169" t="s">
        <v>979</v>
      </c>
      <c r="I37" s="169"/>
      <c r="J37" s="169"/>
      <c r="K37" s="169"/>
      <c r="L37" s="169"/>
      <c r="M37" s="146">
        <v>43544</v>
      </c>
      <c r="N37" s="146">
        <v>43545</v>
      </c>
      <c r="O37" s="169"/>
      <c r="P37" s="170">
        <v>5</v>
      </c>
      <c r="Q37" s="170">
        <v>0</v>
      </c>
      <c r="R37" s="171" t="e">
        <f ca="1">IF(M37="","0",(N37-M37+1)-COUNTIFS(INDIRECT(getCalendarRange(O37)),"&gt;=" &amp; M37,INDIRECT(getCalendarRange(O37)),"&lt;=" &amp; N37))</f>
        <v>#NAME?</v>
      </c>
      <c r="S37" s="171">
        <f ca="1">IF(M37&gt;TODAY(),0,IF(N37&lt;TODAY(),R37,(TODAY()-M37+1)-COUNTIFS(INDIRECT(getCalendarRange(O37)),"&gt;=" &amp; M37,INDIRECT(getCalendarRange(O37)),"&lt;=" &amp; TODAY())))</f>
        <v>0</v>
      </c>
      <c r="T37" s="146"/>
      <c r="U37" s="146"/>
      <c r="V37" s="172"/>
      <c r="W37" s="173" t="str">
        <f ca="1">IF(U37="","0",IF(T37="","0",(U37-T37+1)-COUNTIFS(INDIRECT(getCalendarRange(O37)),"&gt;=" &amp; T37,INDIRECT(getCalendarRange(O37)),"&lt;=" &amp; U37)))</f>
        <v>0</v>
      </c>
      <c r="X37" s="174">
        <v>1</v>
      </c>
      <c r="Y37" s="211" t="s">
        <v>1174</v>
      </c>
      <c r="Z37" s="175"/>
      <c r="AA37" s="176">
        <v>0</v>
      </c>
      <c r="AB37" s="177">
        <v>0</v>
      </c>
      <c r="AD37" s="205"/>
      <c r="AE37" s="204"/>
      <c r="AF37" s="204"/>
      <c r="AG37" s="204"/>
      <c r="AH37" s="204"/>
      <c r="AI37" s="204"/>
      <c r="AJ37" s="204"/>
      <c r="AK37" s="204"/>
      <c r="AL37" s="204"/>
      <c r="AM37" s="204"/>
      <c r="AN37" s="204"/>
      <c r="AO37" s="204"/>
      <c r="AP37" s="204"/>
      <c r="AQ37" s="204"/>
      <c r="AR37" s="204"/>
      <c r="AS37" s="204"/>
      <c r="AT37" s="204"/>
      <c r="AU37" s="204"/>
      <c r="AV37" s="204"/>
      <c r="AW37" s="204"/>
      <c r="AX37" s="204"/>
      <c r="AY37" s="204"/>
      <c r="AZ37" s="204"/>
      <c r="BA37" s="204"/>
      <c r="BB37" s="204"/>
      <c r="BC37" s="204"/>
      <c r="BD37" s="204"/>
      <c r="BE37" s="204"/>
      <c r="BF37" s="204"/>
      <c r="BG37" s="204"/>
      <c r="BH37" s="204"/>
      <c r="BI37" s="204"/>
      <c r="BJ37" s="204"/>
      <c r="BK37" s="204"/>
      <c r="BL37" s="204"/>
      <c r="BM37" s="204"/>
      <c r="BN37" s="204"/>
      <c r="BO37" s="204"/>
      <c r="BP37" s="204"/>
      <c r="BQ37" s="204"/>
      <c r="BR37" s="204"/>
      <c r="BS37" s="204"/>
      <c r="BT37" s="204"/>
      <c r="BU37" s="204"/>
      <c r="BV37" s="204"/>
      <c r="BW37" s="204"/>
      <c r="BX37" s="204"/>
      <c r="BY37" s="204"/>
      <c r="BZ37" s="204"/>
      <c r="CA37" s="204"/>
      <c r="CB37" s="204"/>
      <c r="CC37" s="204"/>
      <c r="CD37" s="204"/>
      <c r="CE37" s="204"/>
      <c r="CF37" s="204"/>
      <c r="CG37" s="204"/>
      <c r="CH37" s="204"/>
      <c r="CI37" s="204"/>
      <c r="CJ37" s="204"/>
      <c r="CK37" s="204"/>
      <c r="CL37" s="204"/>
      <c r="CM37" s="204"/>
      <c r="CN37" s="204"/>
      <c r="CO37" s="204"/>
      <c r="CP37" s="204"/>
      <c r="CQ37" s="204"/>
      <c r="CR37" s="204"/>
      <c r="CS37" s="204"/>
      <c r="CT37" s="204"/>
      <c r="CU37" s="204"/>
      <c r="CV37" s="204"/>
      <c r="CW37" s="204"/>
      <c r="CX37" s="204"/>
      <c r="CY37" s="204"/>
      <c r="CZ37" s="204"/>
      <c r="DA37" s="204"/>
      <c r="DB37" s="204"/>
      <c r="DC37" s="204"/>
      <c r="DD37" s="204"/>
      <c r="DE37" s="204"/>
      <c r="DF37" s="204"/>
      <c r="DG37" s="204"/>
      <c r="DH37" s="204"/>
      <c r="DI37" s="204"/>
      <c r="DJ37" s="204"/>
      <c r="DK37" s="204"/>
      <c r="DL37" s="204"/>
      <c r="DM37" s="204"/>
      <c r="DN37" s="204"/>
      <c r="DO37" s="204"/>
      <c r="DP37" s="204"/>
      <c r="DQ37" s="204"/>
      <c r="DR37" s="204"/>
      <c r="DS37" s="204"/>
      <c r="DT37" s="204"/>
      <c r="DU37" s="204"/>
      <c r="DV37" s="204"/>
      <c r="DW37" s="204"/>
      <c r="DX37" s="204" t="str">
        <f>H37 &amp; " " &amp; IF(M37="","",TEXT(M37,"M/D-")) &amp; IF(N37="","",TEXT(N37,"M/D")) &amp; " "</f>
        <v xml:space="preserve">단위테스트시나리오작성 3/20-3/21 </v>
      </c>
      <c r="DY37" s="194" t="str">
        <f t="shared" si="0"/>
        <v xml:space="preserve">0.00% </v>
      </c>
      <c r="DZ37" s="204"/>
      <c r="EA37" s="204"/>
      <c r="EB37" s="204"/>
      <c r="EC37" s="204"/>
      <c r="ED37" s="204"/>
      <c r="EE37" s="204"/>
      <c r="EF37" s="204"/>
      <c r="EG37" s="204"/>
      <c r="EH37" s="204"/>
      <c r="EI37" s="204"/>
      <c r="EJ37" s="204"/>
      <c r="EK37" s="204"/>
      <c r="EL37" s="204"/>
      <c r="EM37" s="204"/>
      <c r="EN37" s="204"/>
      <c r="EO37" s="204"/>
      <c r="EP37" s="204"/>
      <c r="EQ37" s="204"/>
      <c r="ER37" s="204"/>
      <c r="ES37" s="204"/>
      <c r="ET37" s="204"/>
      <c r="EU37" s="204"/>
      <c r="EV37" s="204"/>
      <c r="EW37" s="204"/>
      <c r="EX37" s="204"/>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c r="GC37" s="204"/>
      <c r="GD37" s="204"/>
      <c r="GE37" s="204"/>
      <c r="GF37" s="204"/>
      <c r="GG37" s="204"/>
      <c r="GH37" s="204"/>
      <c r="GI37" s="204"/>
      <c r="GJ37" s="204"/>
      <c r="GK37" s="204"/>
      <c r="GL37" s="204"/>
      <c r="GM37" s="204"/>
      <c r="GN37" s="204"/>
      <c r="GO37" s="204"/>
      <c r="GP37" s="204"/>
      <c r="GQ37" s="204"/>
      <c r="GR37" s="204"/>
      <c r="GS37" s="204"/>
      <c r="GT37" s="204"/>
      <c r="GU37" s="204"/>
      <c r="GV37" s="204"/>
      <c r="GW37" s="204"/>
      <c r="GX37" s="204"/>
      <c r="GY37" s="204"/>
      <c r="GZ37" s="204"/>
      <c r="HA37" s="204"/>
      <c r="HB37" s="204"/>
      <c r="HC37" s="204"/>
      <c r="HD37" s="204"/>
      <c r="HE37" s="204"/>
      <c r="HF37" s="204"/>
      <c r="HG37" s="204"/>
      <c r="HH37" s="204"/>
      <c r="HI37" s="204"/>
      <c r="HJ37" s="204"/>
      <c r="HK37" s="204"/>
      <c r="HL37" s="204"/>
      <c r="HM37" s="204"/>
      <c r="HN37" s="204"/>
      <c r="HO37" s="204"/>
      <c r="HP37" s="204"/>
      <c r="HQ37" s="204"/>
    </row>
    <row r="38" spans="1:225">
      <c r="A38" s="168"/>
      <c r="B38" s="168" t="s">
        <v>1069</v>
      </c>
      <c r="C38" s="168">
        <v>4</v>
      </c>
      <c r="D38" s="178" t="s">
        <v>1082</v>
      </c>
      <c r="E38" s="169"/>
      <c r="F38" s="169"/>
      <c r="G38" s="169"/>
      <c r="H38" s="169" t="s">
        <v>980</v>
      </c>
      <c r="I38" s="169"/>
      <c r="J38" s="169"/>
      <c r="K38" s="169"/>
      <c r="L38" s="169"/>
      <c r="M38" s="146">
        <v>43544</v>
      </c>
      <c r="N38" s="146">
        <v>43595</v>
      </c>
      <c r="O38" s="169"/>
      <c r="P38" s="170">
        <v>130</v>
      </c>
      <c r="Q38" s="170">
        <v>0</v>
      </c>
      <c r="R38" s="171" t="e">
        <f ca="1">IF(M38="","0",(N38-M38+1)-COUNTIFS(INDIRECT(getCalendarRange(O38)),"&gt;=" &amp; M38,INDIRECT(getCalendarRange(O38)),"&lt;=" &amp; N38))</f>
        <v>#NAME?</v>
      </c>
      <c r="S38" s="171">
        <f ca="1">IF(M38&gt;TODAY(),0,IF(N38&lt;TODAY(),R38,(TODAY()-M38+1)-COUNTIFS(INDIRECT(getCalendarRange(O38)),"&gt;=" &amp; M38,INDIRECT(getCalendarRange(O38)),"&lt;=" &amp; TODAY())))</f>
        <v>0</v>
      </c>
      <c r="T38" s="146"/>
      <c r="U38" s="146"/>
      <c r="V38" s="172">
        <v>0</v>
      </c>
      <c r="W38" s="173" t="str">
        <f ca="1">IF(U38="","0",IF(T38="","0",(U38-T38+1)-COUNTIFS(INDIRECT(getCalendarRange(O38)),"&gt;=" &amp; T38,INDIRECT(getCalendarRange(O38)),"&lt;=" &amp; U38)))</f>
        <v>0</v>
      </c>
      <c r="X38" s="174">
        <v>1</v>
      </c>
      <c r="Y38" s="169"/>
      <c r="Z38" s="175"/>
      <c r="AA38" s="176">
        <v>0</v>
      </c>
      <c r="AB38" s="177">
        <v>0</v>
      </c>
      <c r="AD38" s="205"/>
      <c r="AE38" s="204"/>
      <c r="AF38" s="204"/>
      <c r="AG38" s="204"/>
      <c r="AH38" s="204"/>
      <c r="AI38" s="204"/>
      <c r="AJ38" s="204"/>
      <c r="AK38" s="204"/>
      <c r="AL38" s="204"/>
      <c r="AM38" s="204"/>
      <c r="AN38" s="204"/>
      <c r="AO38" s="204"/>
      <c r="AP38" s="204"/>
      <c r="AQ38" s="204"/>
      <c r="AR38" s="204"/>
      <c r="AS38" s="204"/>
      <c r="AT38" s="204"/>
      <c r="AU38" s="204"/>
      <c r="AV38" s="204"/>
      <c r="AW38" s="204"/>
      <c r="AX38" s="204"/>
      <c r="AY38" s="204"/>
      <c r="AZ38" s="204"/>
      <c r="BA38" s="204"/>
      <c r="BB38" s="204"/>
      <c r="BC38" s="204"/>
      <c r="BD38" s="204"/>
      <c r="BE38" s="204"/>
      <c r="BF38" s="204"/>
      <c r="BG38" s="204"/>
      <c r="BH38" s="204"/>
      <c r="BI38" s="204"/>
      <c r="BJ38" s="204"/>
      <c r="BK38" s="204"/>
      <c r="BL38" s="204"/>
      <c r="BM38" s="204"/>
      <c r="BN38" s="204"/>
      <c r="BO38" s="204"/>
      <c r="BP38" s="204"/>
      <c r="BQ38" s="204"/>
      <c r="BR38" s="204"/>
      <c r="BS38" s="204"/>
      <c r="BT38" s="204"/>
      <c r="BU38" s="204"/>
      <c r="BV38" s="204"/>
      <c r="BW38" s="204"/>
      <c r="BX38" s="204"/>
      <c r="BY38" s="204"/>
      <c r="BZ38" s="204"/>
      <c r="CA38" s="204"/>
      <c r="CB38" s="204"/>
      <c r="CC38" s="204"/>
      <c r="CD38" s="204"/>
      <c r="CE38" s="204"/>
      <c r="CF38" s="204"/>
      <c r="CG38" s="204"/>
      <c r="CH38" s="204"/>
      <c r="CI38" s="204"/>
      <c r="CJ38" s="204"/>
      <c r="CK38" s="204"/>
      <c r="CL38" s="204"/>
      <c r="CM38" s="204"/>
      <c r="CN38" s="204"/>
      <c r="CO38" s="204"/>
      <c r="CP38" s="204"/>
      <c r="CQ38" s="204"/>
      <c r="CR38" s="204"/>
      <c r="CS38" s="204"/>
      <c r="CT38" s="204"/>
      <c r="CU38" s="204"/>
      <c r="CV38" s="204"/>
      <c r="CW38" s="204"/>
      <c r="CX38" s="204"/>
      <c r="CY38" s="204"/>
      <c r="CZ38" s="204"/>
      <c r="DA38" s="204"/>
      <c r="DB38" s="204"/>
      <c r="DC38" s="204"/>
      <c r="DD38" s="204"/>
      <c r="DE38" s="204"/>
      <c r="DF38" s="204"/>
      <c r="DG38" s="204"/>
      <c r="DH38" s="204"/>
      <c r="DI38" s="204"/>
      <c r="DJ38" s="204"/>
      <c r="DK38" s="204"/>
      <c r="DL38" s="204"/>
      <c r="DM38" s="204"/>
      <c r="DN38" s="204"/>
      <c r="DO38" s="204"/>
      <c r="DP38" s="204"/>
      <c r="DQ38" s="204"/>
      <c r="DR38" s="204"/>
      <c r="DS38" s="204"/>
      <c r="DT38" s="204"/>
      <c r="DU38" s="204"/>
      <c r="DV38" s="204"/>
      <c r="DW38" s="204"/>
      <c r="DX38" s="204" t="str">
        <f>H38 &amp; " " &amp; IF(M38="","",TEXT(M38,"M/D-")) &amp; IF(N38="","",TEXT(N38,"M/D")) &amp; " "</f>
        <v xml:space="preserve">프로그램코딩 및 단위테스트 3/20-5/10 </v>
      </c>
      <c r="DY38" s="194" t="str">
        <f t="shared" si="0"/>
        <v xml:space="preserve">0.00% </v>
      </c>
      <c r="DZ38" s="204"/>
      <c r="EA38" s="204"/>
      <c r="EB38" s="204"/>
      <c r="EC38" s="204"/>
      <c r="ED38" s="204"/>
      <c r="EE38" s="204"/>
      <c r="EF38" s="204"/>
      <c r="EG38" s="204"/>
      <c r="EH38" s="204"/>
      <c r="EI38" s="204"/>
      <c r="EJ38" s="204"/>
      <c r="EK38" s="204"/>
      <c r="EL38" s="204"/>
      <c r="EM38" s="204"/>
      <c r="EN38" s="204"/>
      <c r="EO38" s="204"/>
      <c r="EP38" s="204"/>
      <c r="EQ38" s="204"/>
      <c r="ER38" s="204"/>
      <c r="ES38" s="204"/>
      <c r="ET38" s="204"/>
      <c r="EU38" s="204"/>
      <c r="EV38" s="204"/>
      <c r="EW38" s="204"/>
      <c r="EX38" s="204"/>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c r="GC38" s="204"/>
      <c r="GD38" s="204"/>
      <c r="GE38" s="204"/>
      <c r="GF38" s="204"/>
      <c r="GG38" s="204"/>
      <c r="GH38" s="204"/>
      <c r="GI38" s="204"/>
      <c r="GJ38" s="204"/>
      <c r="GK38" s="204"/>
      <c r="GL38" s="204"/>
      <c r="GM38" s="204"/>
      <c r="GN38" s="204"/>
      <c r="GO38" s="204"/>
      <c r="GP38" s="204"/>
      <c r="GQ38" s="204"/>
      <c r="GR38" s="204"/>
      <c r="GS38" s="204"/>
      <c r="GT38" s="204"/>
      <c r="GU38" s="204"/>
      <c r="GV38" s="204"/>
      <c r="GW38" s="204"/>
      <c r="GX38" s="204"/>
      <c r="GY38" s="204"/>
      <c r="GZ38" s="204"/>
      <c r="HA38" s="204"/>
      <c r="HB38" s="204"/>
      <c r="HC38" s="204"/>
      <c r="HD38" s="204"/>
      <c r="HE38" s="204"/>
      <c r="HF38" s="204"/>
      <c r="HG38" s="204"/>
      <c r="HH38" s="204"/>
      <c r="HI38" s="204"/>
      <c r="HJ38" s="204"/>
      <c r="HK38" s="204"/>
      <c r="HL38" s="204"/>
      <c r="HM38" s="204"/>
      <c r="HN38" s="204"/>
      <c r="HO38" s="204"/>
      <c r="HP38" s="204"/>
      <c r="HQ38" s="204"/>
    </row>
    <row r="39" spans="1:225" ht="13.2">
      <c r="A39" s="168"/>
      <c r="B39" s="168" t="s">
        <v>1069</v>
      </c>
      <c r="C39" s="168">
        <v>5</v>
      </c>
      <c r="D39" s="178" t="s">
        <v>1083</v>
      </c>
      <c r="E39" s="169"/>
      <c r="F39" s="169"/>
      <c r="G39" s="169"/>
      <c r="H39" s="169"/>
      <c r="I39" s="216" t="s">
        <v>1195</v>
      </c>
      <c r="J39" s="169"/>
      <c r="K39" s="169"/>
      <c r="L39" s="169"/>
      <c r="M39" s="146">
        <v>43544</v>
      </c>
      <c r="N39" s="146">
        <v>43617</v>
      </c>
      <c r="O39" s="169"/>
      <c r="P39" s="170">
        <v>130</v>
      </c>
      <c r="Q39" s="170">
        <v>0</v>
      </c>
      <c r="R39" s="171" t="e">
        <f ca="1">IF(M39="","0",(N39-M39+1)-COUNTIFS(INDIRECT(getCalendarRange(O39)),"&gt;=" &amp; M39,INDIRECT(getCalendarRange(O39)),"&lt;=" &amp; N39))</f>
        <v>#NAME?</v>
      </c>
      <c r="S39" s="171">
        <f ca="1">IF(M39&gt;TODAY(),0,IF(N39&lt;TODAY(),R39,(TODAY()-M39+1)-COUNTIFS(INDIRECT(getCalendarRange(O39)),"&gt;=" &amp; M39,INDIRECT(getCalendarRange(O39)),"&lt;=" &amp; TODAY())))</f>
        <v>0</v>
      </c>
      <c r="T39" s="146"/>
      <c r="U39" s="146"/>
      <c r="V39" s="172">
        <v>0</v>
      </c>
      <c r="W39" s="173" t="str">
        <f ca="1">IF(U39="","0",IF(T39="","0",(U39-T39+1)-COUNTIFS(INDIRECT(getCalendarRange(O39)),"&gt;=" &amp; T39,INDIRECT(getCalendarRange(O39)),"&lt;=" &amp; U39)))</f>
        <v>0</v>
      </c>
      <c r="X39" s="174">
        <v>1</v>
      </c>
      <c r="Y39" s="169"/>
      <c r="Z39" s="175"/>
      <c r="AA39" s="176">
        <v>0</v>
      </c>
      <c r="AB39" s="177">
        <v>0</v>
      </c>
      <c r="AD39" s="205"/>
      <c r="AE39" s="204"/>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04"/>
      <c r="BI39" s="204"/>
      <c r="BJ39" s="204"/>
      <c r="BK39" s="204"/>
      <c r="BL39" s="204"/>
      <c r="BM39" s="204"/>
      <c r="BN39" s="204"/>
      <c r="BO39" s="204"/>
      <c r="BP39" s="204"/>
      <c r="BQ39" s="204"/>
      <c r="BR39" s="204"/>
      <c r="BS39" s="204"/>
      <c r="BT39" s="204"/>
      <c r="BU39" s="204"/>
      <c r="BV39" s="204"/>
      <c r="BW39" s="204"/>
      <c r="BX39" s="204"/>
      <c r="BY39" s="204"/>
      <c r="BZ39" s="204"/>
      <c r="CA39" s="204"/>
      <c r="CB39" s="204"/>
      <c r="CC39" s="204"/>
      <c r="CD39" s="204"/>
      <c r="CE39" s="204"/>
      <c r="CF39" s="204"/>
      <c r="CG39" s="204"/>
      <c r="CH39" s="204"/>
      <c r="CI39" s="204"/>
      <c r="CJ39" s="204"/>
      <c r="CK39" s="204"/>
      <c r="CL39" s="204"/>
      <c r="CM39" s="204"/>
      <c r="CN39" s="204"/>
      <c r="CO39" s="204"/>
      <c r="CP39" s="204"/>
      <c r="CQ39" s="204"/>
      <c r="CR39" s="204"/>
      <c r="CS39" s="204"/>
      <c r="CT39" s="204"/>
      <c r="CU39" s="204"/>
      <c r="CV39" s="204"/>
      <c r="CW39" s="204"/>
      <c r="CX39" s="204"/>
      <c r="CY39" s="204"/>
      <c r="CZ39" s="204"/>
      <c r="DA39" s="204"/>
      <c r="DB39" s="204"/>
      <c r="DC39" s="204"/>
      <c r="DD39" s="204"/>
      <c r="DE39" s="204"/>
      <c r="DF39" s="204"/>
      <c r="DG39" s="204"/>
      <c r="DH39" s="204"/>
      <c r="DI39" s="204"/>
      <c r="DJ39" s="204"/>
      <c r="DK39" s="204"/>
      <c r="DL39" s="204"/>
      <c r="DM39" s="204"/>
      <c r="DN39" s="204"/>
      <c r="DO39" s="204"/>
      <c r="DP39" s="204"/>
      <c r="DQ39" s="204"/>
      <c r="DR39" s="204"/>
      <c r="DS39" s="204"/>
      <c r="DT39" s="204"/>
      <c r="DU39" s="204"/>
      <c r="DV39" s="204"/>
      <c r="DW39" s="204"/>
      <c r="DX39" s="204" t="str">
        <f>I39 &amp; " " &amp; IF(M39="","",TEXT(M39,"M/D-")) &amp; IF(N39="","",TEXT(N39,"M/D")) &amp; " "</f>
        <v xml:space="preserve">캡스톤 디자인 3/20-6/1 </v>
      </c>
      <c r="DY39" s="194" t="str">
        <f t="shared" si="0"/>
        <v xml:space="preserve">0.00% </v>
      </c>
      <c r="DZ39" s="204"/>
      <c r="EA39" s="204"/>
      <c r="EB39" s="204"/>
      <c r="EC39" s="204"/>
      <c r="ED39" s="204"/>
      <c r="EE39" s="204"/>
      <c r="EF39" s="204"/>
      <c r="EG39" s="204"/>
      <c r="EH39" s="204"/>
      <c r="EI39" s="204"/>
      <c r="EJ39" s="204"/>
      <c r="EK39" s="204"/>
      <c r="EL39" s="204"/>
      <c r="EM39" s="204"/>
      <c r="EN39" s="204"/>
      <c r="EO39" s="204"/>
      <c r="EP39" s="204"/>
      <c r="EQ39" s="204"/>
      <c r="ER39" s="204"/>
      <c r="ES39" s="204"/>
      <c r="ET39" s="204"/>
      <c r="EU39" s="204"/>
      <c r="EV39" s="204"/>
      <c r="EW39" s="204"/>
      <c r="EX39" s="204"/>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c r="GC39" s="204"/>
      <c r="GD39" s="204"/>
      <c r="GE39" s="204"/>
      <c r="GF39" s="204"/>
      <c r="GG39" s="204"/>
      <c r="GH39" s="204"/>
      <c r="GI39" s="204"/>
      <c r="GJ39" s="204"/>
      <c r="GK39" s="204"/>
      <c r="GL39" s="204"/>
      <c r="GM39" s="204"/>
      <c r="GN39" s="204"/>
      <c r="GO39" s="204"/>
      <c r="GP39" s="204"/>
      <c r="GQ39" s="204"/>
      <c r="GR39" s="204"/>
      <c r="GS39" s="204"/>
      <c r="GT39" s="204"/>
      <c r="GU39" s="204"/>
      <c r="GV39" s="204"/>
      <c r="GW39" s="204"/>
      <c r="GX39" s="204"/>
      <c r="GY39" s="204"/>
      <c r="GZ39" s="204"/>
      <c r="HA39" s="204"/>
      <c r="HB39" s="204"/>
      <c r="HC39" s="204"/>
      <c r="HD39" s="204"/>
      <c r="HE39" s="204"/>
      <c r="HF39" s="204"/>
      <c r="HG39" s="204"/>
      <c r="HH39" s="204"/>
      <c r="HI39" s="204"/>
      <c r="HJ39" s="204"/>
      <c r="HK39" s="204"/>
      <c r="HL39" s="204"/>
      <c r="HM39" s="204"/>
      <c r="HN39" s="204"/>
      <c r="HO39" s="204"/>
      <c r="HP39" s="204"/>
      <c r="HQ39" s="204"/>
    </row>
    <row r="40" spans="1:225" ht="13.2">
      <c r="A40" s="168"/>
      <c r="B40" s="168"/>
      <c r="C40" s="168"/>
      <c r="D40" s="178"/>
      <c r="E40" s="169"/>
      <c r="F40" s="169"/>
      <c r="G40" s="169"/>
      <c r="H40" s="169"/>
      <c r="I40" s="216" t="s">
        <v>1215</v>
      </c>
      <c r="J40" s="169"/>
      <c r="K40" s="169"/>
      <c r="L40" s="169"/>
      <c r="M40" s="146">
        <v>43544</v>
      </c>
      <c r="N40" s="146">
        <v>43544</v>
      </c>
      <c r="O40" s="169"/>
      <c r="P40" s="218">
        <v>4</v>
      </c>
      <c r="Q40" s="170">
        <v>0</v>
      </c>
      <c r="R40" s="171"/>
      <c r="S40" s="171"/>
      <c r="T40" s="146"/>
      <c r="U40" s="146"/>
      <c r="V40" s="172"/>
      <c r="W40" s="173"/>
      <c r="X40" s="174">
        <v>1</v>
      </c>
      <c r="Y40" s="210" t="s">
        <v>1168</v>
      </c>
      <c r="Z40" s="175"/>
      <c r="AA40" s="176"/>
      <c r="AB40" s="177"/>
      <c r="AD40" s="205"/>
      <c r="AE40" s="204"/>
      <c r="AF40" s="204"/>
      <c r="AG40" s="204"/>
      <c r="AH40" s="204"/>
      <c r="AI40" s="204"/>
      <c r="AJ40" s="204"/>
      <c r="AK40" s="204"/>
      <c r="AL40" s="204"/>
      <c r="AM40" s="204"/>
      <c r="AN40" s="204"/>
      <c r="AO40" s="204"/>
      <c r="AP40" s="204"/>
      <c r="AQ40" s="204"/>
      <c r="AR40" s="204"/>
      <c r="AS40" s="204"/>
      <c r="AT40" s="204"/>
      <c r="AU40" s="204"/>
      <c r="AV40" s="204"/>
      <c r="AW40" s="204"/>
      <c r="AX40" s="204"/>
      <c r="AY40" s="204"/>
      <c r="AZ40" s="204"/>
      <c r="BA40" s="204"/>
      <c r="BB40" s="204"/>
      <c r="BC40" s="204"/>
      <c r="BD40" s="204"/>
      <c r="BE40" s="204"/>
      <c r="BF40" s="204"/>
      <c r="BG40" s="204"/>
      <c r="BH40" s="204"/>
      <c r="BI40" s="204"/>
      <c r="BJ40" s="204"/>
      <c r="BK40" s="204"/>
      <c r="BL40" s="204"/>
      <c r="BM40" s="204"/>
      <c r="BN40" s="204"/>
      <c r="BO40" s="204"/>
      <c r="BP40" s="204"/>
      <c r="BQ40" s="204"/>
      <c r="BR40" s="204"/>
      <c r="BS40" s="204"/>
      <c r="BT40" s="204"/>
      <c r="BU40" s="204"/>
      <c r="BV40" s="204"/>
      <c r="BW40" s="204"/>
      <c r="BX40" s="204"/>
      <c r="BY40" s="204"/>
      <c r="BZ40" s="204"/>
      <c r="CA40" s="204"/>
      <c r="CB40" s="204"/>
      <c r="CC40" s="204"/>
      <c r="CD40" s="204"/>
      <c r="CE40" s="204"/>
      <c r="CF40" s="204"/>
      <c r="CG40" s="204"/>
      <c r="CH40" s="204"/>
      <c r="CI40" s="204"/>
      <c r="CJ40" s="204"/>
      <c r="CK40" s="204"/>
      <c r="CL40" s="204"/>
      <c r="CM40" s="204"/>
      <c r="CN40" s="204"/>
      <c r="CO40" s="204"/>
      <c r="CP40" s="204"/>
      <c r="CQ40" s="204"/>
      <c r="CR40" s="204"/>
      <c r="CS40" s="204"/>
      <c r="CT40" s="204"/>
      <c r="CU40" s="204"/>
      <c r="CV40" s="204"/>
      <c r="CW40" s="204"/>
      <c r="CX40" s="204"/>
      <c r="CY40" s="204"/>
      <c r="CZ40" s="204"/>
      <c r="DA40" s="204"/>
      <c r="DB40" s="204"/>
      <c r="DC40" s="204"/>
      <c r="DD40" s="204"/>
      <c r="DE40" s="204"/>
      <c r="DF40" s="204"/>
      <c r="DG40" s="204"/>
      <c r="DH40" s="204"/>
      <c r="DI40" s="204"/>
      <c r="DJ40" s="204"/>
      <c r="DK40" s="204"/>
      <c r="DL40" s="204"/>
      <c r="DM40" s="204"/>
      <c r="DN40" s="204"/>
      <c r="DO40" s="204"/>
      <c r="DP40" s="204"/>
      <c r="DQ40" s="204"/>
      <c r="DR40" s="204"/>
      <c r="DS40" s="204"/>
      <c r="DT40" s="204"/>
      <c r="DU40" s="204"/>
      <c r="DV40" s="204"/>
      <c r="DW40" s="204"/>
      <c r="DX40" s="204"/>
      <c r="DY40" s="194"/>
      <c r="DZ40" s="204"/>
      <c r="EA40" s="204"/>
      <c r="EB40" s="204"/>
      <c r="EC40" s="204"/>
      <c r="ED40" s="204"/>
      <c r="EE40" s="204"/>
      <c r="EF40" s="204"/>
      <c r="EG40" s="204"/>
      <c r="EH40" s="204"/>
      <c r="EI40" s="204"/>
      <c r="EJ40" s="204"/>
      <c r="EK40" s="204"/>
      <c r="EL40" s="204"/>
      <c r="EM40" s="204"/>
      <c r="EN40" s="204"/>
      <c r="EO40" s="204"/>
      <c r="EP40" s="204"/>
      <c r="EQ40" s="204"/>
      <c r="ER40" s="204"/>
      <c r="ES40" s="204"/>
      <c r="ET40" s="204"/>
      <c r="EU40" s="204"/>
      <c r="EV40" s="204"/>
      <c r="EW40" s="204"/>
      <c r="EX40" s="204"/>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c r="GC40" s="204"/>
      <c r="GD40" s="204"/>
      <c r="GE40" s="204"/>
      <c r="GF40" s="204"/>
      <c r="GG40" s="204"/>
      <c r="GH40" s="204"/>
      <c r="GI40" s="204"/>
      <c r="GJ40" s="204"/>
      <c r="GK40" s="204"/>
      <c r="GL40" s="204"/>
      <c r="GM40" s="204"/>
      <c r="GN40" s="204"/>
      <c r="GO40" s="204"/>
      <c r="GP40" s="204"/>
      <c r="GQ40" s="204"/>
      <c r="GR40" s="204"/>
      <c r="GS40" s="204"/>
      <c r="GT40" s="204"/>
      <c r="GU40" s="204"/>
      <c r="GV40" s="204"/>
      <c r="GW40" s="204"/>
      <c r="GX40" s="204"/>
      <c r="GY40" s="204"/>
      <c r="GZ40" s="204"/>
      <c r="HA40" s="204"/>
      <c r="HB40" s="204"/>
      <c r="HC40" s="204"/>
      <c r="HD40" s="204"/>
      <c r="HE40" s="204"/>
      <c r="HF40" s="204"/>
      <c r="HG40" s="204"/>
      <c r="HH40" s="204"/>
      <c r="HI40" s="204"/>
      <c r="HJ40" s="204"/>
      <c r="HK40" s="204"/>
      <c r="HL40" s="204"/>
      <c r="HM40" s="204"/>
      <c r="HN40" s="204"/>
      <c r="HO40" s="204"/>
      <c r="HP40" s="204"/>
      <c r="HQ40" s="204"/>
    </row>
    <row r="41" spans="1:225" ht="13.2">
      <c r="A41" s="168"/>
      <c r="B41" s="168"/>
      <c r="C41" s="168"/>
      <c r="D41" s="178"/>
      <c r="E41" s="169"/>
      <c r="F41" s="169"/>
      <c r="G41" s="169"/>
      <c r="H41" s="169"/>
      <c r="I41" s="216"/>
      <c r="J41" s="169" t="s">
        <v>1216</v>
      </c>
      <c r="K41" s="169"/>
      <c r="L41" s="169"/>
      <c r="M41" s="146">
        <v>43544</v>
      </c>
      <c r="N41" s="146">
        <v>43544</v>
      </c>
      <c r="O41" s="169"/>
      <c r="P41" s="170">
        <v>1</v>
      </c>
      <c r="Q41" s="170">
        <v>0</v>
      </c>
      <c r="R41" s="171"/>
      <c r="S41" s="171"/>
      <c r="T41" s="146"/>
      <c r="U41" s="146"/>
      <c r="V41" s="172"/>
      <c r="W41" s="173"/>
      <c r="X41" s="174">
        <v>1</v>
      </c>
      <c r="Y41" s="210" t="s">
        <v>1168</v>
      </c>
      <c r="Z41" s="175"/>
      <c r="AA41" s="176"/>
      <c r="AB41" s="177"/>
      <c r="AC41" s="220" t="s">
        <v>1247</v>
      </c>
      <c r="AD41" s="205"/>
      <c r="AE41" s="204"/>
      <c r="AF41" s="204"/>
      <c r="AG41" s="204"/>
      <c r="AH41" s="204"/>
      <c r="AI41" s="204"/>
      <c r="AJ41" s="204"/>
      <c r="AK41" s="204"/>
      <c r="AL41" s="204"/>
      <c r="AM41" s="204"/>
      <c r="AN41" s="204"/>
      <c r="AO41" s="204"/>
      <c r="AP41" s="204"/>
      <c r="AQ41" s="204"/>
      <c r="AR41" s="204"/>
      <c r="AS41" s="204"/>
      <c r="AT41" s="204"/>
      <c r="AU41" s="204"/>
      <c r="AV41" s="204"/>
      <c r="AW41" s="204"/>
      <c r="AX41" s="204"/>
      <c r="AY41" s="204"/>
      <c r="AZ41" s="204"/>
      <c r="BA41" s="204"/>
      <c r="BB41" s="204"/>
      <c r="BC41" s="204"/>
      <c r="BD41" s="204"/>
      <c r="BE41" s="204"/>
      <c r="BF41" s="204"/>
      <c r="BG41" s="204"/>
      <c r="BH41" s="204"/>
      <c r="BI41" s="204"/>
      <c r="BJ41" s="204"/>
      <c r="BK41" s="204"/>
      <c r="BL41" s="204"/>
      <c r="BM41" s="204"/>
      <c r="BN41" s="204"/>
      <c r="BO41" s="204"/>
      <c r="BP41" s="204"/>
      <c r="BQ41" s="204"/>
      <c r="BR41" s="204"/>
      <c r="BS41" s="204"/>
      <c r="BT41" s="204"/>
      <c r="BU41" s="204"/>
      <c r="BV41" s="204"/>
      <c r="BW41" s="204"/>
      <c r="BX41" s="204"/>
      <c r="BY41" s="204"/>
      <c r="BZ41" s="204"/>
      <c r="CA41" s="204"/>
      <c r="CB41" s="204"/>
      <c r="CC41" s="204"/>
      <c r="CD41" s="204"/>
      <c r="CE41" s="204"/>
      <c r="CF41" s="204"/>
      <c r="CG41" s="204"/>
      <c r="CH41" s="204"/>
      <c r="CI41" s="204"/>
      <c r="CJ41" s="204"/>
      <c r="CK41" s="204"/>
      <c r="CL41" s="204"/>
      <c r="CM41" s="204"/>
      <c r="CN41" s="204"/>
      <c r="CO41" s="204"/>
      <c r="CP41" s="204"/>
      <c r="CQ41" s="204"/>
      <c r="CR41" s="204"/>
      <c r="CS41" s="204"/>
      <c r="CT41" s="204"/>
      <c r="CU41" s="204"/>
      <c r="CV41" s="204"/>
      <c r="CW41" s="204"/>
      <c r="CX41" s="204"/>
      <c r="CY41" s="204"/>
      <c r="CZ41" s="204"/>
      <c r="DA41" s="204"/>
      <c r="DB41" s="204"/>
      <c r="DC41" s="204"/>
      <c r="DD41" s="204"/>
      <c r="DE41" s="204"/>
      <c r="DF41" s="204"/>
      <c r="DG41" s="204"/>
      <c r="DH41" s="204"/>
      <c r="DI41" s="204"/>
      <c r="DJ41" s="204"/>
      <c r="DK41" s="204"/>
      <c r="DL41" s="204"/>
      <c r="DM41" s="204"/>
      <c r="DN41" s="204"/>
      <c r="DO41" s="204"/>
      <c r="DP41" s="204"/>
      <c r="DQ41" s="204"/>
      <c r="DR41" s="204"/>
      <c r="DS41" s="204"/>
      <c r="DT41" s="204"/>
      <c r="DU41" s="204"/>
      <c r="DV41" s="204"/>
      <c r="DW41" s="204"/>
      <c r="DX41" s="204"/>
      <c r="DY41" s="194"/>
      <c r="DZ41" s="204"/>
      <c r="EA41" s="204"/>
      <c r="EB41" s="204"/>
      <c r="EC41" s="204"/>
      <c r="ED41" s="204"/>
      <c r="EE41" s="204"/>
      <c r="EF41" s="204"/>
      <c r="EG41" s="204"/>
      <c r="EH41" s="204"/>
      <c r="EI41" s="204"/>
      <c r="EJ41" s="204"/>
      <c r="EK41" s="204"/>
      <c r="EL41" s="204"/>
      <c r="EM41" s="204"/>
      <c r="EN41" s="204"/>
      <c r="EO41" s="204"/>
      <c r="EP41" s="204"/>
      <c r="EQ41" s="204"/>
      <c r="ER41" s="204"/>
      <c r="ES41" s="204"/>
      <c r="ET41" s="204"/>
      <c r="EU41" s="204"/>
      <c r="EV41" s="204"/>
      <c r="EW41" s="204"/>
      <c r="EX41" s="204"/>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c r="GC41" s="204"/>
      <c r="GD41" s="204"/>
      <c r="GE41" s="204"/>
      <c r="GF41" s="204"/>
      <c r="GG41" s="204"/>
      <c r="GH41" s="204"/>
      <c r="GI41" s="204"/>
      <c r="GJ41" s="204"/>
      <c r="GK41" s="204"/>
      <c r="GL41" s="204"/>
      <c r="GM41" s="204"/>
      <c r="GN41" s="204"/>
      <c r="GO41" s="204"/>
      <c r="GP41" s="204"/>
      <c r="GQ41" s="204"/>
      <c r="GR41" s="204"/>
      <c r="GS41" s="204"/>
      <c r="GT41" s="204"/>
      <c r="GU41" s="204"/>
      <c r="GV41" s="204"/>
      <c r="GW41" s="204"/>
      <c r="GX41" s="204"/>
      <c r="GY41" s="204"/>
      <c r="GZ41" s="204"/>
      <c r="HA41" s="204"/>
      <c r="HB41" s="204"/>
      <c r="HC41" s="204"/>
      <c r="HD41" s="204"/>
      <c r="HE41" s="204"/>
      <c r="HF41" s="204"/>
      <c r="HG41" s="204"/>
      <c r="HH41" s="204"/>
      <c r="HI41" s="204"/>
      <c r="HJ41" s="204"/>
      <c r="HK41" s="204"/>
      <c r="HL41" s="204"/>
      <c r="HM41" s="204"/>
      <c r="HN41" s="204"/>
      <c r="HO41" s="204"/>
      <c r="HP41" s="204"/>
      <c r="HQ41" s="204"/>
    </row>
    <row r="42" spans="1:225" ht="13.2">
      <c r="A42" s="168"/>
      <c r="B42" s="168"/>
      <c r="C42" s="168"/>
      <c r="D42" s="178"/>
      <c r="E42" s="169"/>
      <c r="F42" s="169"/>
      <c r="G42" s="169"/>
      <c r="H42" s="169"/>
      <c r="I42" s="216"/>
      <c r="J42" s="169" t="s">
        <v>1217</v>
      </c>
      <c r="K42" s="169"/>
      <c r="L42" s="169"/>
      <c r="M42" s="146">
        <v>43544</v>
      </c>
      <c r="N42" s="146">
        <v>43544</v>
      </c>
      <c r="O42" s="169"/>
      <c r="P42" s="170">
        <v>1</v>
      </c>
      <c r="Q42" s="170">
        <v>0</v>
      </c>
      <c r="R42" s="171"/>
      <c r="S42" s="171"/>
      <c r="T42" s="146"/>
      <c r="U42" s="146"/>
      <c r="V42" s="172"/>
      <c r="W42" s="173"/>
      <c r="X42" s="174">
        <v>1</v>
      </c>
      <c r="Y42" s="210" t="s">
        <v>1168</v>
      </c>
      <c r="Z42" s="175"/>
      <c r="AA42" s="176"/>
      <c r="AB42" s="177"/>
      <c r="AC42" s="220" t="s">
        <v>1248</v>
      </c>
      <c r="AD42" s="205"/>
      <c r="AE42" s="204"/>
      <c r="AF42" s="204"/>
      <c r="AG42" s="204"/>
      <c r="AH42" s="204"/>
      <c r="AI42" s="204"/>
      <c r="AJ42" s="204"/>
      <c r="AK42" s="204"/>
      <c r="AL42" s="204"/>
      <c r="AM42" s="204"/>
      <c r="AN42" s="204"/>
      <c r="AO42" s="204"/>
      <c r="AP42" s="204"/>
      <c r="AQ42" s="204"/>
      <c r="AR42" s="204"/>
      <c r="AS42" s="204"/>
      <c r="AT42" s="204"/>
      <c r="AU42" s="204"/>
      <c r="AV42" s="204"/>
      <c r="AW42" s="204"/>
      <c r="AX42" s="204"/>
      <c r="AY42" s="204"/>
      <c r="AZ42" s="204"/>
      <c r="BA42" s="204"/>
      <c r="BB42" s="204"/>
      <c r="BC42" s="204"/>
      <c r="BD42" s="204"/>
      <c r="BE42" s="204"/>
      <c r="BF42" s="204"/>
      <c r="BG42" s="204"/>
      <c r="BH42" s="204"/>
      <c r="BI42" s="204"/>
      <c r="BJ42" s="204"/>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4"/>
      <c r="CK42" s="204"/>
      <c r="CL42" s="204"/>
      <c r="CM42" s="204"/>
      <c r="CN42" s="204"/>
      <c r="CO42" s="204"/>
      <c r="CP42" s="204"/>
      <c r="CQ42" s="204"/>
      <c r="CR42" s="204"/>
      <c r="CS42" s="204"/>
      <c r="CT42" s="204"/>
      <c r="CU42" s="204"/>
      <c r="CV42" s="204"/>
      <c r="CW42" s="204"/>
      <c r="CX42" s="204"/>
      <c r="CY42" s="204"/>
      <c r="CZ42" s="204"/>
      <c r="DA42" s="204"/>
      <c r="DB42" s="204"/>
      <c r="DC42" s="204"/>
      <c r="DD42" s="204"/>
      <c r="DE42" s="204"/>
      <c r="DF42" s="204"/>
      <c r="DG42" s="204"/>
      <c r="DH42" s="204"/>
      <c r="DI42" s="204"/>
      <c r="DJ42" s="204"/>
      <c r="DK42" s="204"/>
      <c r="DL42" s="204"/>
      <c r="DM42" s="204"/>
      <c r="DN42" s="204"/>
      <c r="DO42" s="204"/>
      <c r="DP42" s="204"/>
      <c r="DQ42" s="204"/>
      <c r="DR42" s="204"/>
      <c r="DS42" s="204"/>
      <c r="DT42" s="204"/>
      <c r="DU42" s="204"/>
      <c r="DV42" s="204"/>
      <c r="DW42" s="204"/>
      <c r="DX42" s="204"/>
      <c r="DY42" s="194"/>
      <c r="DZ42" s="204"/>
      <c r="EA42" s="204"/>
      <c r="EB42" s="204"/>
      <c r="EC42" s="204"/>
      <c r="ED42" s="204"/>
      <c r="EE42" s="204"/>
      <c r="EF42" s="204"/>
      <c r="EG42" s="204"/>
      <c r="EH42" s="204"/>
      <c r="EI42" s="204"/>
      <c r="EJ42" s="204"/>
      <c r="EK42" s="204"/>
      <c r="EL42" s="204"/>
      <c r="EM42" s="204"/>
      <c r="EN42" s="204"/>
      <c r="EO42" s="204"/>
      <c r="EP42" s="204"/>
      <c r="EQ42" s="204"/>
      <c r="ER42" s="204"/>
      <c r="ES42" s="204"/>
      <c r="ET42" s="204"/>
      <c r="EU42" s="204"/>
      <c r="EV42" s="204"/>
      <c r="EW42" s="204"/>
      <c r="EX42" s="204"/>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c r="GC42" s="204"/>
      <c r="GD42" s="204"/>
      <c r="GE42" s="204"/>
      <c r="GF42" s="204"/>
      <c r="GG42" s="204"/>
      <c r="GH42" s="204"/>
      <c r="GI42" s="204"/>
      <c r="GJ42" s="204"/>
      <c r="GK42" s="204"/>
      <c r="GL42" s="204"/>
      <c r="GM42" s="204"/>
      <c r="GN42" s="204"/>
      <c r="GO42" s="204"/>
      <c r="GP42" s="204"/>
      <c r="GQ42" s="204"/>
      <c r="GR42" s="204"/>
      <c r="GS42" s="204"/>
      <c r="GT42" s="204"/>
      <c r="GU42" s="204"/>
      <c r="GV42" s="204"/>
      <c r="GW42" s="204"/>
      <c r="GX42" s="204"/>
      <c r="GY42" s="204"/>
      <c r="GZ42" s="204"/>
      <c r="HA42" s="204"/>
      <c r="HB42" s="204"/>
      <c r="HC42" s="204"/>
      <c r="HD42" s="204"/>
      <c r="HE42" s="204"/>
      <c r="HF42" s="204"/>
      <c r="HG42" s="204"/>
      <c r="HH42" s="204"/>
      <c r="HI42" s="204"/>
      <c r="HJ42" s="204"/>
      <c r="HK42" s="204"/>
      <c r="HL42" s="204"/>
      <c r="HM42" s="204"/>
      <c r="HN42" s="204"/>
      <c r="HO42" s="204"/>
      <c r="HP42" s="204"/>
      <c r="HQ42" s="204"/>
    </row>
    <row r="43" spans="1:225" ht="13.2">
      <c r="A43" s="168"/>
      <c r="B43" s="168"/>
      <c r="C43" s="168"/>
      <c r="D43" s="178"/>
      <c r="E43" s="169"/>
      <c r="F43" s="169"/>
      <c r="G43" s="169"/>
      <c r="H43" s="169"/>
      <c r="I43" s="216"/>
      <c r="J43" s="210" t="s">
        <v>1218</v>
      </c>
      <c r="K43" s="169"/>
      <c r="L43" s="169"/>
      <c r="M43" s="146">
        <v>43544</v>
      </c>
      <c r="N43" s="146">
        <v>43544</v>
      </c>
      <c r="O43" s="169"/>
      <c r="P43" s="170">
        <v>1</v>
      </c>
      <c r="Q43" s="170">
        <v>0</v>
      </c>
      <c r="R43" s="171"/>
      <c r="S43" s="171"/>
      <c r="T43" s="146"/>
      <c r="U43" s="146"/>
      <c r="V43" s="172"/>
      <c r="W43" s="173"/>
      <c r="X43" s="174">
        <v>1</v>
      </c>
      <c r="Y43" s="210" t="s">
        <v>1168</v>
      </c>
      <c r="Z43" s="175"/>
      <c r="AA43" s="176"/>
      <c r="AB43" s="177"/>
      <c r="AC43" s="220" t="s">
        <v>1252</v>
      </c>
      <c r="AD43" s="205"/>
      <c r="AE43" s="204"/>
      <c r="AF43" s="204"/>
      <c r="AG43" s="204"/>
      <c r="AH43" s="204"/>
      <c r="AI43" s="204"/>
      <c r="AJ43" s="204"/>
      <c r="AK43" s="204"/>
      <c r="AL43" s="204"/>
      <c r="AM43" s="204"/>
      <c r="AN43" s="204"/>
      <c r="AO43" s="204"/>
      <c r="AP43" s="204"/>
      <c r="AQ43" s="204"/>
      <c r="AR43" s="204"/>
      <c r="AS43" s="204"/>
      <c r="AT43" s="204"/>
      <c r="AU43" s="204"/>
      <c r="AV43" s="204"/>
      <c r="AW43" s="204"/>
      <c r="AX43" s="204"/>
      <c r="AY43" s="204"/>
      <c r="AZ43" s="204"/>
      <c r="BA43" s="204"/>
      <c r="BB43" s="204"/>
      <c r="BC43" s="204"/>
      <c r="BD43" s="204"/>
      <c r="BE43" s="204"/>
      <c r="BF43" s="204"/>
      <c r="BG43" s="204"/>
      <c r="BH43" s="204"/>
      <c r="BI43" s="204"/>
      <c r="BJ43" s="204"/>
      <c r="BK43" s="204"/>
      <c r="BL43" s="204"/>
      <c r="BM43" s="204"/>
      <c r="BN43" s="204"/>
      <c r="BO43" s="204"/>
      <c r="BP43" s="204"/>
      <c r="BQ43" s="204"/>
      <c r="BR43" s="204"/>
      <c r="BS43" s="204"/>
      <c r="BT43" s="204"/>
      <c r="BU43" s="204"/>
      <c r="BV43" s="204"/>
      <c r="BW43" s="204"/>
      <c r="BX43" s="204"/>
      <c r="BY43" s="204"/>
      <c r="BZ43" s="204"/>
      <c r="CA43" s="204"/>
      <c r="CB43" s="204"/>
      <c r="CC43" s="204"/>
      <c r="CD43" s="204"/>
      <c r="CE43" s="204"/>
      <c r="CF43" s="204"/>
      <c r="CG43" s="204"/>
      <c r="CH43" s="204"/>
      <c r="CI43" s="204"/>
      <c r="CJ43" s="204"/>
      <c r="CK43" s="204"/>
      <c r="CL43" s="204"/>
      <c r="CM43" s="204"/>
      <c r="CN43" s="204"/>
      <c r="CO43" s="204"/>
      <c r="CP43" s="204"/>
      <c r="CQ43" s="204"/>
      <c r="CR43" s="204"/>
      <c r="CS43" s="204"/>
      <c r="CT43" s="204"/>
      <c r="CU43" s="204"/>
      <c r="CV43" s="204"/>
      <c r="CW43" s="204"/>
      <c r="CX43" s="204"/>
      <c r="CY43" s="204"/>
      <c r="CZ43" s="204"/>
      <c r="DA43" s="204"/>
      <c r="DB43" s="204"/>
      <c r="DC43" s="204"/>
      <c r="DD43" s="204"/>
      <c r="DE43" s="204"/>
      <c r="DF43" s="204"/>
      <c r="DG43" s="204"/>
      <c r="DH43" s="204"/>
      <c r="DI43" s="204"/>
      <c r="DJ43" s="204"/>
      <c r="DK43" s="204"/>
      <c r="DL43" s="204"/>
      <c r="DM43" s="204"/>
      <c r="DN43" s="204"/>
      <c r="DO43" s="204"/>
      <c r="DP43" s="204"/>
      <c r="DQ43" s="204"/>
      <c r="DR43" s="204"/>
      <c r="DS43" s="204"/>
      <c r="DT43" s="204"/>
      <c r="DU43" s="204"/>
      <c r="DV43" s="204"/>
      <c r="DW43" s="204"/>
      <c r="DX43" s="204"/>
      <c r="DY43" s="194"/>
      <c r="DZ43" s="204"/>
      <c r="EA43" s="204"/>
      <c r="EB43" s="204"/>
      <c r="EC43" s="204"/>
      <c r="ED43" s="204"/>
      <c r="EE43" s="204"/>
      <c r="EF43" s="204"/>
      <c r="EG43" s="204"/>
      <c r="EH43" s="204"/>
      <c r="EI43" s="204"/>
      <c r="EJ43" s="204"/>
      <c r="EK43" s="204"/>
      <c r="EL43" s="204"/>
      <c r="EM43" s="204"/>
      <c r="EN43" s="204"/>
      <c r="EO43" s="204"/>
      <c r="EP43" s="204"/>
      <c r="EQ43" s="204"/>
      <c r="ER43" s="204"/>
      <c r="ES43" s="204"/>
      <c r="ET43" s="204"/>
      <c r="EU43" s="204"/>
      <c r="EV43" s="204"/>
      <c r="EW43" s="204"/>
      <c r="EX43" s="204"/>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c r="GC43" s="204"/>
      <c r="GD43" s="204"/>
      <c r="GE43" s="204"/>
      <c r="GF43" s="204"/>
      <c r="GG43" s="204"/>
      <c r="GH43" s="204"/>
      <c r="GI43" s="204"/>
      <c r="GJ43" s="204"/>
      <c r="GK43" s="204"/>
      <c r="GL43" s="204"/>
      <c r="GM43" s="204"/>
      <c r="GN43" s="204"/>
      <c r="GO43" s="204"/>
      <c r="GP43" s="204"/>
      <c r="GQ43" s="204"/>
      <c r="GR43" s="204"/>
      <c r="GS43" s="204"/>
      <c r="GT43" s="204"/>
      <c r="GU43" s="204"/>
      <c r="GV43" s="204"/>
      <c r="GW43" s="204"/>
      <c r="GX43" s="204"/>
      <c r="GY43" s="204"/>
      <c r="GZ43" s="204"/>
      <c r="HA43" s="204"/>
      <c r="HB43" s="204"/>
      <c r="HC43" s="204"/>
      <c r="HD43" s="204"/>
      <c r="HE43" s="204"/>
      <c r="HF43" s="204"/>
      <c r="HG43" s="204"/>
      <c r="HH43" s="204"/>
      <c r="HI43" s="204"/>
      <c r="HJ43" s="204"/>
      <c r="HK43" s="204"/>
      <c r="HL43" s="204"/>
      <c r="HM43" s="204"/>
      <c r="HN43" s="204"/>
      <c r="HO43" s="204"/>
      <c r="HP43" s="204"/>
      <c r="HQ43" s="204"/>
    </row>
    <row r="44" spans="1:225" ht="13.2">
      <c r="A44" s="168"/>
      <c r="B44" s="168"/>
      <c r="C44" s="168"/>
      <c r="D44" s="178"/>
      <c r="E44" s="169"/>
      <c r="F44" s="169"/>
      <c r="G44" s="169"/>
      <c r="H44" s="169"/>
      <c r="I44" s="216"/>
      <c r="J44" s="210" t="s">
        <v>1219</v>
      </c>
      <c r="K44" s="169"/>
      <c r="L44" s="169"/>
      <c r="M44" s="146">
        <v>43544</v>
      </c>
      <c r="N44" s="146">
        <v>43544</v>
      </c>
      <c r="O44" s="169"/>
      <c r="P44" s="170">
        <v>1</v>
      </c>
      <c r="Q44" s="170">
        <v>0</v>
      </c>
      <c r="R44" s="171"/>
      <c r="S44" s="171"/>
      <c r="T44" s="146"/>
      <c r="U44" s="146"/>
      <c r="V44" s="172"/>
      <c r="W44" s="173"/>
      <c r="X44" s="174">
        <v>1</v>
      </c>
      <c r="Y44" s="210" t="s">
        <v>1168</v>
      </c>
      <c r="Z44" s="175" t="s">
        <v>1220</v>
      </c>
      <c r="AA44" s="176"/>
      <c r="AB44" s="177"/>
      <c r="AC44" s="220" t="s">
        <v>1249</v>
      </c>
      <c r="AD44" s="205"/>
      <c r="AE44" s="204"/>
      <c r="AF44" s="204"/>
      <c r="AG44" s="204"/>
      <c r="AH44" s="204"/>
      <c r="AI44" s="204"/>
      <c r="AJ44" s="204"/>
      <c r="AK44" s="204"/>
      <c r="AL44" s="204"/>
      <c r="AM44" s="204"/>
      <c r="AN44" s="204"/>
      <c r="AO44" s="204"/>
      <c r="AP44" s="204"/>
      <c r="AQ44" s="204"/>
      <c r="AR44" s="204"/>
      <c r="AS44" s="204"/>
      <c r="AT44" s="204"/>
      <c r="AU44" s="204"/>
      <c r="AV44" s="204"/>
      <c r="AW44" s="204"/>
      <c r="AX44" s="204"/>
      <c r="AY44" s="204"/>
      <c r="AZ44" s="204"/>
      <c r="BA44" s="204"/>
      <c r="BB44" s="204"/>
      <c r="BC44" s="204"/>
      <c r="BD44" s="204"/>
      <c r="BE44" s="204"/>
      <c r="BF44" s="204"/>
      <c r="BG44" s="204"/>
      <c r="BH44" s="204"/>
      <c r="BI44" s="204"/>
      <c r="BJ44" s="204"/>
      <c r="BK44" s="204"/>
      <c r="BL44" s="204"/>
      <c r="BM44" s="204"/>
      <c r="BN44" s="204"/>
      <c r="BO44" s="204"/>
      <c r="BP44" s="204"/>
      <c r="BQ44" s="204"/>
      <c r="BR44" s="204"/>
      <c r="BS44" s="204"/>
      <c r="BT44" s="204"/>
      <c r="BU44" s="204"/>
      <c r="BV44" s="204"/>
      <c r="BW44" s="204"/>
      <c r="BX44" s="204"/>
      <c r="BY44" s="204"/>
      <c r="BZ44" s="204"/>
      <c r="CA44" s="204"/>
      <c r="CB44" s="204"/>
      <c r="CC44" s="204"/>
      <c r="CD44" s="204"/>
      <c r="CE44" s="204"/>
      <c r="CF44" s="204"/>
      <c r="CG44" s="204"/>
      <c r="CH44" s="204"/>
      <c r="CI44" s="204"/>
      <c r="CJ44" s="204"/>
      <c r="CK44" s="204"/>
      <c r="CL44" s="204"/>
      <c r="CM44" s="204"/>
      <c r="CN44" s="204"/>
      <c r="CO44" s="204"/>
      <c r="CP44" s="204"/>
      <c r="CQ44" s="204"/>
      <c r="CR44" s="204"/>
      <c r="CS44" s="204"/>
      <c r="CT44" s="204"/>
      <c r="CU44" s="204"/>
      <c r="CV44" s="204"/>
      <c r="CW44" s="204"/>
      <c r="CX44" s="204"/>
      <c r="CY44" s="204"/>
      <c r="CZ44" s="204"/>
      <c r="DA44" s="204"/>
      <c r="DB44" s="204"/>
      <c r="DC44" s="204"/>
      <c r="DD44" s="204"/>
      <c r="DE44" s="204"/>
      <c r="DF44" s="204"/>
      <c r="DG44" s="204"/>
      <c r="DH44" s="204"/>
      <c r="DI44" s="204"/>
      <c r="DJ44" s="204"/>
      <c r="DK44" s="204"/>
      <c r="DL44" s="204"/>
      <c r="DM44" s="204"/>
      <c r="DN44" s="204"/>
      <c r="DO44" s="204"/>
      <c r="DP44" s="204"/>
      <c r="DQ44" s="204"/>
      <c r="DR44" s="204"/>
      <c r="DS44" s="204"/>
      <c r="DT44" s="204"/>
      <c r="DU44" s="204"/>
      <c r="DV44" s="204"/>
      <c r="DW44" s="204"/>
      <c r="DX44" s="204"/>
      <c r="DY44" s="194"/>
      <c r="DZ44" s="204"/>
      <c r="EA44" s="204"/>
      <c r="EB44" s="204"/>
      <c r="EC44" s="204"/>
      <c r="ED44" s="204"/>
      <c r="EE44" s="204"/>
      <c r="EF44" s="204"/>
      <c r="EG44" s="204"/>
      <c r="EH44" s="204"/>
      <c r="EI44" s="204"/>
      <c r="EJ44" s="204"/>
      <c r="EK44" s="204"/>
      <c r="EL44" s="204"/>
      <c r="EM44" s="204"/>
      <c r="EN44" s="204"/>
      <c r="EO44" s="204"/>
      <c r="EP44" s="204"/>
      <c r="EQ44" s="204"/>
      <c r="ER44" s="204"/>
      <c r="ES44" s="204"/>
      <c r="ET44" s="204"/>
      <c r="EU44" s="204"/>
      <c r="EV44" s="204"/>
      <c r="EW44" s="204"/>
      <c r="EX44" s="204"/>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c r="GC44" s="204"/>
      <c r="GD44" s="204"/>
      <c r="GE44" s="204"/>
      <c r="GF44" s="204"/>
      <c r="GG44" s="204"/>
      <c r="GH44" s="204"/>
      <c r="GI44" s="204"/>
      <c r="GJ44" s="204"/>
      <c r="GK44" s="204"/>
      <c r="GL44" s="204"/>
      <c r="GM44" s="204"/>
      <c r="GN44" s="204"/>
      <c r="GO44" s="204"/>
      <c r="GP44" s="204"/>
      <c r="GQ44" s="204"/>
      <c r="GR44" s="204"/>
      <c r="GS44" s="204"/>
      <c r="GT44" s="204"/>
      <c r="GU44" s="204"/>
      <c r="GV44" s="204"/>
      <c r="GW44" s="204"/>
      <c r="GX44" s="204"/>
      <c r="GY44" s="204"/>
      <c r="GZ44" s="204"/>
      <c r="HA44" s="204"/>
      <c r="HB44" s="204"/>
      <c r="HC44" s="204"/>
      <c r="HD44" s="204"/>
      <c r="HE44" s="204"/>
      <c r="HF44" s="204"/>
      <c r="HG44" s="204"/>
      <c r="HH44" s="204"/>
      <c r="HI44" s="204"/>
      <c r="HJ44" s="204"/>
      <c r="HK44" s="204"/>
      <c r="HL44" s="204"/>
      <c r="HM44" s="204"/>
      <c r="HN44" s="204"/>
      <c r="HO44" s="204"/>
      <c r="HP44" s="204"/>
      <c r="HQ44" s="204"/>
    </row>
    <row r="45" spans="1:225" ht="13.2">
      <c r="A45" s="168"/>
      <c r="B45" s="168"/>
      <c r="C45" s="168">
        <v>5</v>
      </c>
      <c r="D45" s="178" t="s">
        <v>1049</v>
      </c>
      <c r="E45" s="169"/>
      <c r="F45" s="169"/>
      <c r="G45" s="169"/>
      <c r="H45" s="169"/>
      <c r="I45" s="211" t="s">
        <v>1185</v>
      </c>
      <c r="J45" s="169"/>
      <c r="K45" s="169"/>
      <c r="L45" s="169"/>
      <c r="M45" s="146">
        <v>43544</v>
      </c>
      <c r="N45" s="146">
        <v>43617</v>
      </c>
      <c r="O45" s="169"/>
      <c r="P45" s="170">
        <v>43</v>
      </c>
      <c r="Q45" s="170">
        <v>0</v>
      </c>
      <c r="R45" s="171" t="e">
        <f ca="1">IF(M45="","0",(N45-M45+1)-COUNTIFS(INDIRECT(getCalendarRange(O45)),"&gt;=" &amp; M45,INDIRECT(getCalendarRange(O45)),"&lt;=" &amp; N45))</f>
        <v>#NAME?</v>
      </c>
      <c r="S45" s="171">
        <f ca="1">IF(M45&gt;TODAY(),0,IF(N45&lt;TODAY(),R45,(TODAY()-M45+1)-COUNTIFS(INDIRECT(getCalendarRange(O45)),"&gt;=" &amp; M45,INDIRECT(getCalendarRange(O45)),"&lt;=" &amp; TODAY())))</f>
        <v>0</v>
      </c>
      <c r="T45" s="146"/>
      <c r="U45" s="146"/>
      <c r="V45" s="172"/>
      <c r="W45" s="173" t="str">
        <f ca="1">IF(U45="","0",IF(T45="","0",(U45-T45+1)-COUNTIFS(INDIRECT(getCalendarRange(O45)),"&gt;=" &amp; T45,INDIRECT(getCalendarRange(O45)),"&lt;=" &amp; U45)))</f>
        <v>0</v>
      </c>
      <c r="X45" s="174">
        <v>1</v>
      </c>
      <c r="Y45" s="211" t="s">
        <v>1193</v>
      </c>
      <c r="Z45" s="175"/>
      <c r="AA45" s="176">
        <v>0</v>
      </c>
      <c r="AB45" s="177">
        <v>0</v>
      </c>
      <c r="AD45" s="205"/>
      <c r="AE45" s="204"/>
      <c r="AF45" s="204"/>
      <c r="AG45" s="204"/>
      <c r="AH45" s="204"/>
      <c r="AI45" s="204"/>
      <c r="AJ45" s="204"/>
      <c r="AK45" s="204"/>
      <c r="AL45" s="204"/>
      <c r="AM45" s="204"/>
      <c r="AN45" s="204"/>
      <c r="AO45" s="204"/>
      <c r="AP45" s="204"/>
      <c r="AQ45" s="204"/>
      <c r="AR45" s="204"/>
      <c r="AS45" s="204"/>
      <c r="AT45" s="204"/>
      <c r="AU45" s="204"/>
      <c r="AV45" s="204"/>
      <c r="AW45" s="204"/>
      <c r="AX45" s="204"/>
      <c r="AY45" s="204"/>
      <c r="AZ45" s="204"/>
      <c r="BA45" s="204"/>
      <c r="BB45" s="204"/>
      <c r="BC45" s="204"/>
      <c r="BD45" s="204"/>
      <c r="BE45" s="204"/>
      <c r="BF45" s="204"/>
      <c r="BG45" s="204"/>
      <c r="BH45" s="204"/>
      <c r="BI45" s="204"/>
      <c r="BJ45" s="204"/>
      <c r="BK45" s="204"/>
      <c r="BL45" s="204"/>
      <c r="BM45" s="204"/>
      <c r="BN45" s="204"/>
      <c r="BO45" s="204"/>
      <c r="BP45" s="204"/>
      <c r="BQ45" s="204"/>
      <c r="BR45" s="204"/>
      <c r="BS45" s="204"/>
      <c r="BT45" s="204"/>
      <c r="BU45" s="204"/>
      <c r="BV45" s="204"/>
      <c r="BW45" s="204"/>
      <c r="BX45" s="204"/>
      <c r="BY45" s="204"/>
      <c r="BZ45" s="204"/>
      <c r="CA45" s="204"/>
      <c r="CB45" s="204"/>
      <c r="CC45" s="204"/>
      <c r="CD45" s="204"/>
      <c r="CE45" s="204"/>
      <c r="CF45" s="204"/>
      <c r="CG45" s="204"/>
      <c r="CH45" s="204"/>
      <c r="CI45" s="204"/>
      <c r="CJ45" s="204"/>
      <c r="CK45" s="204"/>
      <c r="CL45" s="204"/>
      <c r="CM45" s="204"/>
      <c r="CN45" s="204"/>
      <c r="CO45" s="204"/>
      <c r="CP45" s="204"/>
      <c r="CQ45" s="204"/>
      <c r="CR45" s="204"/>
      <c r="CS45" s="204"/>
      <c r="CT45" s="204"/>
      <c r="CU45" s="204"/>
      <c r="CV45" s="204"/>
      <c r="CW45" s="204"/>
      <c r="CX45" s="204"/>
      <c r="CY45" s="204"/>
      <c r="CZ45" s="204"/>
      <c r="DA45" s="204"/>
      <c r="DB45" s="204"/>
      <c r="DC45" s="204"/>
      <c r="DD45" s="204"/>
      <c r="DE45" s="204"/>
      <c r="DF45" s="204"/>
      <c r="DG45" s="204"/>
      <c r="DH45" s="204"/>
      <c r="DI45" s="204"/>
      <c r="DJ45" s="204"/>
      <c r="DK45" s="204"/>
      <c r="DL45" s="204"/>
      <c r="DM45" s="204"/>
      <c r="DN45" s="204"/>
      <c r="DO45" s="204"/>
      <c r="DP45" s="204"/>
      <c r="DQ45" s="204"/>
      <c r="DR45" s="204"/>
      <c r="DS45" s="204"/>
      <c r="DT45" s="204"/>
      <c r="DU45" s="204"/>
      <c r="DV45" s="204"/>
      <c r="DW45" s="204"/>
      <c r="DX45" s="204" t="str">
        <f>I45 &amp; " " &amp; IF(M45="","",TEXT(M45,"M/D-")) &amp; IF(N45="","",TEXT(N45,"M/D")) &amp; " "</f>
        <v xml:space="preserve">웹 프론트엔드 3/20-6/1 </v>
      </c>
      <c r="DY45" s="194" t="str">
        <f>TEXT(AB45,"#0.00%") &amp; " "</f>
        <v xml:space="preserve">0.00% </v>
      </c>
      <c r="DZ45" s="204"/>
      <c r="EA45" s="204"/>
      <c r="EB45" s="204"/>
      <c r="EC45" s="204"/>
      <c r="ED45" s="204"/>
      <c r="EE45" s="204"/>
      <c r="EF45" s="204"/>
      <c r="EG45" s="204"/>
      <c r="EH45" s="204"/>
      <c r="EI45" s="204"/>
      <c r="EJ45" s="204"/>
      <c r="EK45" s="204"/>
      <c r="EL45" s="204"/>
      <c r="EM45" s="204"/>
      <c r="EN45" s="204"/>
      <c r="EO45" s="204"/>
      <c r="EP45" s="204"/>
      <c r="EQ45" s="204"/>
      <c r="ER45" s="204"/>
      <c r="ES45" s="204"/>
      <c r="ET45" s="204"/>
      <c r="EU45" s="204"/>
      <c r="EV45" s="204"/>
      <c r="EW45" s="204"/>
      <c r="EX45" s="204"/>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c r="GC45" s="204"/>
      <c r="GD45" s="204"/>
      <c r="GE45" s="204"/>
      <c r="GF45" s="204"/>
      <c r="GG45" s="204"/>
      <c r="GH45" s="204"/>
      <c r="GI45" s="204"/>
      <c r="GJ45" s="204"/>
      <c r="GK45" s="204"/>
      <c r="GL45" s="204"/>
      <c r="GM45" s="204"/>
      <c r="GN45" s="204"/>
      <c r="GO45" s="204"/>
      <c r="GP45" s="204"/>
      <c r="GQ45" s="204"/>
      <c r="GR45" s="204"/>
      <c r="GS45" s="204"/>
      <c r="GT45" s="204"/>
      <c r="GU45" s="204"/>
      <c r="GV45" s="204"/>
      <c r="GW45" s="204"/>
      <c r="GX45" s="204"/>
      <c r="GY45" s="204"/>
      <c r="GZ45" s="204"/>
      <c r="HA45" s="204"/>
      <c r="HB45" s="204"/>
      <c r="HC45" s="204"/>
      <c r="HD45" s="204"/>
      <c r="HE45" s="204"/>
      <c r="HF45" s="204"/>
      <c r="HG45" s="204"/>
      <c r="HH45" s="204"/>
      <c r="HI45" s="204"/>
      <c r="HJ45" s="204"/>
      <c r="HK45" s="204"/>
      <c r="HL45" s="204"/>
      <c r="HM45" s="204"/>
      <c r="HN45" s="204"/>
      <c r="HO45" s="204"/>
      <c r="HP45" s="204"/>
      <c r="HQ45" s="204"/>
    </row>
    <row r="46" spans="1:225" ht="13.2">
      <c r="A46" s="168"/>
      <c r="B46" s="168"/>
      <c r="C46" s="168"/>
      <c r="D46" s="178"/>
      <c r="E46" s="169"/>
      <c r="F46" s="169"/>
      <c r="G46" s="169"/>
      <c r="H46" s="169"/>
      <c r="I46" s="211"/>
      <c r="J46" s="210" t="s">
        <v>1200</v>
      </c>
      <c r="K46" s="169"/>
      <c r="L46" s="169"/>
      <c r="M46" s="146">
        <v>43544</v>
      </c>
      <c r="N46" s="146">
        <v>43565</v>
      </c>
      <c r="O46" s="169"/>
      <c r="P46" s="170">
        <v>6</v>
      </c>
      <c r="Q46" s="170">
        <v>0</v>
      </c>
      <c r="R46" s="171"/>
      <c r="S46" s="171"/>
      <c r="T46" s="146"/>
      <c r="U46" s="146"/>
      <c r="V46" s="172"/>
      <c r="W46" s="173"/>
      <c r="X46" s="174">
        <v>1</v>
      </c>
      <c r="Y46" s="211" t="s">
        <v>1193</v>
      </c>
      <c r="Z46" s="219" t="s">
        <v>1222</v>
      </c>
      <c r="AA46" s="176"/>
      <c r="AB46" s="177"/>
      <c r="AC46" s="220" t="s">
        <v>1251</v>
      </c>
      <c r="AD46" s="205"/>
      <c r="AE46" s="204"/>
      <c r="AF46" s="204"/>
      <c r="AG46" s="204"/>
      <c r="AH46" s="204"/>
      <c r="AI46" s="204"/>
      <c r="AJ46" s="204"/>
      <c r="AK46" s="204"/>
      <c r="AL46" s="204"/>
      <c r="AM46" s="204"/>
      <c r="AN46" s="204"/>
      <c r="AO46" s="204"/>
      <c r="AP46" s="204"/>
      <c r="AQ46" s="204"/>
      <c r="AR46" s="204"/>
      <c r="AS46" s="204"/>
      <c r="AT46" s="204"/>
      <c r="AU46" s="204"/>
      <c r="AV46" s="204"/>
      <c r="AW46" s="204"/>
      <c r="AX46" s="204"/>
      <c r="AY46" s="204"/>
      <c r="AZ46" s="204"/>
      <c r="BA46" s="204"/>
      <c r="BB46" s="204"/>
      <c r="BC46" s="204"/>
      <c r="BD46" s="204"/>
      <c r="BE46" s="204"/>
      <c r="BF46" s="204"/>
      <c r="BG46" s="204"/>
      <c r="BH46" s="204"/>
      <c r="BI46" s="204"/>
      <c r="BJ46" s="204"/>
      <c r="BK46" s="204"/>
      <c r="BL46" s="204"/>
      <c r="BM46" s="204"/>
      <c r="BN46" s="204"/>
      <c r="BO46" s="204"/>
      <c r="BP46" s="204"/>
      <c r="BQ46" s="204"/>
      <c r="BR46" s="204"/>
      <c r="BS46" s="204"/>
      <c r="BT46" s="204"/>
      <c r="BU46" s="204"/>
      <c r="BV46" s="204"/>
      <c r="BW46" s="204"/>
      <c r="BX46" s="204"/>
      <c r="BY46" s="204"/>
      <c r="BZ46" s="204"/>
      <c r="CA46" s="204"/>
      <c r="CB46" s="204"/>
      <c r="CC46" s="204"/>
      <c r="CD46" s="204"/>
      <c r="CE46" s="204"/>
      <c r="CF46" s="204"/>
      <c r="CG46" s="204"/>
      <c r="CH46" s="204"/>
      <c r="CI46" s="204"/>
      <c r="CJ46" s="204"/>
      <c r="CK46" s="204"/>
      <c r="CL46" s="204"/>
      <c r="CM46" s="204"/>
      <c r="CN46" s="204"/>
      <c r="CO46" s="204"/>
      <c r="CP46" s="204"/>
      <c r="CQ46" s="204"/>
      <c r="CR46" s="204"/>
      <c r="CS46" s="204"/>
      <c r="CT46" s="204"/>
      <c r="CU46" s="204"/>
      <c r="CV46" s="204"/>
      <c r="CW46" s="204"/>
      <c r="CX46" s="204"/>
      <c r="CY46" s="204"/>
      <c r="CZ46" s="204"/>
      <c r="DA46" s="204"/>
      <c r="DB46" s="204"/>
      <c r="DC46" s="204"/>
      <c r="DD46" s="204"/>
      <c r="DE46" s="204"/>
      <c r="DF46" s="204"/>
      <c r="DG46" s="204"/>
      <c r="DH46" s="204"/>
      <c r="DI46" s="204"/>
      <c r="DJ46" s="204"/>
      <c r="DK46" s="204"/>
      <c r="DL46" s="204"/>
      <c r="DM46" s="204"/>
      <c r="DN46" s="204"/>
      <c r="DO46" s="204"/>
      <c r="DP46" s="204"/>
      <c r="DQ46" s="204"/>
      <c r="DR46" s="204"/>
      <c r="DS46" s="204"/>
      <c r="DT46" s="204"/>
      <c r="DU46" s="204"/>
      <c r="DV46" s="204"/>
      <c r="DW46" s="204"/>
      <c r="DX46" s="204"/>
      <c r="DY46" s="194"/>
      <c r="DZ46" s="204"/>
      <c r="EA46" s="204"/>
      <c r="EB46" s="204"/>
      <c r="EC46" s="204"/>
      <c r="ED46" s="204"/>
      <c r="EE46" s="204"/>
      <c r="EF46" s="204"/>
      <c r="EG46" s="204"/>
      <c r="EH46" s="204"/>
      <c r="EI46" s="204"/>
      <c r="EJ46" s="204"/>
      <c r="EK46" s="204"/>
      <c r="EL46" s="204"/>
      <c r="EM46" s="204"/>
      <c r="EN46" s="204"/>
      <c r="EO46" s="204"/>
      <c r="EP46" s="204"/>
      <c r="EQ46" s="204"/>
      <c r="ER46" s="204"/>
      <c r="ES46" s="204"/>
      <c r="ET46" s="204"/>
      <c r="EU46" s="204"/>
      <c r="EV46" s="204"/>
      <c r="EW46" s="204"/>
      <c r="EX46" s="204"/>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c r="GC46" s="204"/>
      <c r="GD46" s="204"/>
      <c r="GE46" s="204"/>
      <c r="GF46" s="204"/>
      <c r="GG46" s="204"/>
      <c r="GH46" s="204"/>
      <c r="GI46" s="204"/>
      <c r="GJ46" s="204"/>
      <c r="GK46" s="204"/>
      <c r="GL46" s="204"/>
      <c r="GM46" s="204"/>
      <c r="GN46" s="204"/>
      <c r="GO46" s="204"/>
      <c r="GP46" s="204"/>
      <c r="GQ46" s="204"/>
      <c r="GR46" s="204"/>
      <c r="GS46" s="204"/>
      <c r="GT46" s="204"/>
      <c r="GU46" s="204"/>
      <c r="GV46" s="204"/>
      <c r="GW46" s="204"/>
      <c r="GX46" s="204"/>
      <c r="GY46" s="204"/>
      <c r="GZ46" s="204"/>
      <c r="HA46" s="204"/>
      <c r="HB46" s="204"/>
      <c r="HC46" s="204"/>
      <c r="HD46" s="204"/>
      <c r="HE46" s="204"/>
      <c r="HF46" s="204"/>
      <c r="HG46" s="204"/>
      <c r="HH46" s="204"/>
      <c r="HI46" s="204"/>
      <c r="HJ46" s="204"/>
      <c r="HK46" s="204"/>
      <c r="HL46" s="204"/>
      <c r="HM46" s="204"/>
      <c r="HN46" s="204"/>
      <c r="HO46" s="204"/>
      <c r="HP46" s="204"/>
      <c r="HQ46" s="204"/>
    </row>
    <row r="47" spans="1:225" ht="13.2">
      <c r="A47" s="168"/>
      <c r="B47" s="168"/>
      <c r="C47" s="168"/>
      <c r="D47" s="178"/>
      <c r="E47" s="169"/>
      <c r="F47" s="169"/>
      <c r="G47" s="169"/>
      <c r="H47" s="169"/>
      <c r="I47" s="211"/>
      <c r="J47" s="210" t="s">
        <v>1225</v>
      </c>
      <c r="K47" s="169"/>
      <c r="L47" s="169"/>
      <c r="M47" s="146">
        <v>43565</v>
      </c>
      <c r="N47" s="146">
        <v>43585</v>
      </c>
      <c r="O47" s="169"/>
      <c r="P47" s="170">
        <v>8</v>
      </c>
      <c r="Q47" s="170">
        <v>0</v>
      </c>
      <c r="R47" s="171"/>
      <c r="S47" s="171"/>
      <c r="T47" s="146"/>
      <c r="U47" s="146"/>
      <c r="V47" s="172"/>
      <c r="W47" s="173"/>
      <c r="X47" s="174">
        <v>1</v>
      </c>
      <c r="Y47" s="211" t="s">
        <v>1175</v>
      </c>
      <c r="Z47" s="219"/>
      <c r="AA47" s="176"/>
      <c r="AB47" s="177"/>
      <c r="AC47" s="220" t="s">
        <v>1226</v>
      </c>
      <c r="AD47" s="205"/>
      <c r="AE47" s="204"/>
      <c r="AF47" s="204"/>
      <c r="AG47" s="204"/>
      <c r="AH47" s="204"/>
      <c r="AI47" s="204"/>
      <c r="AJ47" s="204"/>
      <c r="AK47" s="204"/>
      <c r="AL47" s="204"/>
      <c r="AM47" s="204"/>
      <c r="AN47" s="204"/>
      <c r="AO47" s="204"/>
      <c r="AP47" s="204"/>
      <c r="AQ47" s="204"/>
      <c r="AR47" s="204"/>
      <c r="AS47" s="204"/>
      <c r="AT47" s="204"/>
      <c r="AU47" s="204"/>
      <c r="AV47" s="204"/>
      <c r="AW47" s="204"/>
      <c r="AX47" s="204"/>
      <c r="AY47" s="204"/>
      <c r="AZ47" s="204"/>
      <c r="BA47" s="204"/>
      <c r="BB47" s="204"/>
      <c r="BC47" s="204"/>
      <c r="BD47" s="204"/>
      <c r="BE47" s="204"/>
      <c r="BF47" s="204"/>
      <c r="BG47" s="204"/>
      <c r="BH47" s="204"/>
      <c r="BI47" s="204"/>
      <c r="BJ47" s="204"/>
      <c r="BK47" s="204"/>
      <c r="BL47" s="204"/>
      <c r="BM47" s="204"/>
      <c r="BN47" s="204"/>
      <c r="BO47" s="204"/>
      <c r="BP47" s="204"/>
      <c r="BQ47" s="204"/>
      <c r="BR47" s="204"/>
      <c r="BS47" s="204"/>
      <c r="BT47" s="204"/>
      <c r="BU47" s="204"/>
      <c r="BV47" s="204"/>
      <c r="BW47" s="204"/>
      <c r="BX47" s="204"/>
      <c r="BY47" s="204"/>
      <c r="BZ47" s="204"/>
      <c r="CA47" s="204"/>
      <c r="CB47" s="204"/>
      <c r="CC47" s="204"/>
      <c r="CD47" s="204"/>
      <c r="CE47" s="204"/>
      <c r="CF47" s="204"/>
      <c r="CG47" s="204"/>
      <c r="CH47" s="204"/>
      <c r="CI47" s="204"/>
      <c r="CJ47" s="204"/>
      <c r="CK47" s="204"/>
      <c r="CL47" s="204"/>
      <c r="CM47" s="204"/>
      <c r="CN47" s="204"/>
      <c r="CO47" s="204"/>
      <c r="CP47" s="204"/>
      <c r="CQ47" s="204"/>
      <c r="CR47" s="204"/>
      <c r="CS47" s="204"/>
      <c r="CT47" s="204"/>
      <c r="CU47" s="204"/>
      <c r="CV47" s="204"/>
      <c r="CW47" s="204"/>
      <c r="CX47" s="204"/>
      <c r="CY47" s="204"/>
      <c r="CZ47" s="204"/>
      <c r="DA47" s="204"/>
      <c r="DB47" s="204"/>
      <c r="DC47" s="204"/>
      <c r="DD47" s="204"/>
      <c r="DE47" s="204"/>
      <c r="DF47" s="204"/>
      <c r="DG47" s="204"/>
      <c r="DH47" s="204"/>
      <c r="DI47" s="204"/>
      <c r="DJ47" s="204"/>
      <c r="DK47" s="204"/>
      <c r="DL47" s="204"/>
      <c r="DM47" s="204"/>
      <c r="DN47" s="204"/>
      <c r="DO47" s="204"/>
      <c r="DP47" s="204"/>
      <c r="DQ47" s="204"/>
      <c r="DR47" s="204"/>
      <c r="DS47" s="204"/>
      <c r="DT47" s="204"/>
      <c r="DU47" s="204"/>
      <c r="DV47" s="204"/>
      <c r="DW47" s="204"/>
      <c r="DX47" s="204"/>
      <c r="DY47" s="194"/>
      <c r="DZ47" s="204"/>
      <c r="EA47" s="204"/>
      <c r="EB47" s="204"/>
      <c r="EC47" s="204"/>
      <c r="ED47" s="204"/>
      <c r="EE47" s="204"/>
      <c r="EF47" s="204"/>
      <c r="EG47" s="204"/>
      <c r="EH47" s="204"/>
      <c r="EI47" s="204"/>
      <c r="EJ47" s="204"/>
      <c r="EK47" s="204"/>
      <c r="EL47" s="204"/>
      <c r="EM47" s="204"/>
      <c r="EN47" s="204"/>
      <c r="EO47" s="204"/>
      <c r="EP47" s="204"/>
      <c r="EQ47" s="204"/>
      <c r="ER47" s="204"/>
      <c r="ES47" s="204"/>
      <c r="ET47" s="204"/>
      <c r="EU47" s="204"/>
      <c r="EV47" s="204"/>
      <c r="EW47" s="204"/>
      <c r="EX47" s="204"/>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c r="GC47" s="204"/>
      <c r="GD47" s="204"/>
      <c r="GE47" s="204"/>
      <c r="GF47" s="204"/>
      <c r="GG47" s="204"/>
      <c r="GH47" s="204"/>
      <c r="GI47" s="204"/>
      <c r="GJ47" s="204"/>
      <c r="GK47" s="204"/>
      <c r="GL47" s="204"/>
      <c r="GM47" s="204"/>
      <c r="GN47" s="204"/>
      <c r="GO47" s="204"/>
      <c r="GP47" s="204"/>
      <c r="GQ47" s="204"/>
      <c r="GR47" s="204"/>
      <c r="GS47" s="204"/>
      <c r="GT47" s="204"/>
      <c r="GU47" s="204"/>
      <c r="GV47" s="204"/>
      <c r="GW47" s="204"/>
      <c r="GX47" s="204"/>
      <c r="GY47" s="204"/>
      <c r="GZ47" s="204"/>
      <c r="HA47" s="204"/>
      <c r="HB47" s="204"/>
      <c r="HC47" s="204"/>
      <c r="HD47" s="204"/>
      <c r="HE47" s="204"/>
      <c r="HF47" s="204"/>
      <c r="HG47" s="204"/>
      <c r="HH47" s="204"/>
      <c r="HI47" s="204"/>
      <c r="HJ47" s="204"/>
      <c r="HK47" s="204"/>
      <c r="HL47" s="204"/>
      <c r="HM47" s="204"/>
      <c r="HN47" s="204"/>
      <c r="HO47" s="204"/>
      <c r="HP47" s="204"/>
      <c r="HQ47" s="204"/>
    </row>
    <row r="48" spans="1:225" ht="13.2">
      <c r="A48" s="168"/>
      <c r="B48" s="168"/>
      <c r="C48" s="168"/>
      <c r="D48" s="178"/>
      <c r="E48" s="169"/>
      <c r="F48" s="169"/>
      <c r="G48" s="169"/>
      <c r="H48" s="169"/>
      <c r="I48" s="211"/>
      <c r="J48" s="210" t="s">
        <v>1239</v>
      </c>
      <c r="K48" s="169"/>
      <c r="L48" s="169"/>
      <c r="M48" s="146">
        <v>43565</v>
      </c>
      <c r="N48" s="146">
        <v>43585</v>
      </c>
      <c r="O48" s="169"/>
      <c r="P48" s="170">
        <v>8</v>
      </c>
      <c r="Q48" s="170">
        <v>0</v>
      </c>
      <c r="R48" s="171"/>
      <c r="S48" s="171"/>
      <c r="T48" s="146"/>
      <c r="U48" s="146"/>
      <c r="V48" s="172"/>
      <c r="W48" s="173"/>
      <c r="X48" s="174">
        <v>1</v>
      </c>
      <c r="Y48" s="211" t="s">
        <v>1173</v>
      </c>
      <c r="Z48" s="219" t="s">
        <v>1221</v>
      </c>
      <c r="AA48" s="176"/>
      <c r="AB48" s="177"/>
      <c r="AC48" s="220" t="s">
        <v>1226</v>
      </c>
      <c r="AD48" s="205"/>
      <c r="AE48" s="204"/>
      <c r="AF48" s="204"/>
      <c r="AG48" s="204"/>
      <c r="AH48" s="204"/>
      <c r="AI48" s="204"/>
      <c r="AJ48" s="204"/>
      <c r="AK48" s="204"/>
      <c r="AL48" s="204"/>
      <c r="AM48" s="204"/>
      <c r="AN48" s="204"/>
      <c r="AO48" s="204"/>
      <c r="AP48" s="204"/>
      <c r="AQ48" s="204"/>
      <c r="AR48" s="204"/>
      <c r="AS48" s="204"/>
      <c r="AT48" s="204"/>
      <c r="AU48" s="204"/>
      <c r="AV48" s="204"/>
      <c r="AW48" s="204"/>
      <c r="AX48" s="204"/>
      <c r="AY48" s="204"/>
      <c r="AZ48" s="204"/>
      <c r="BA48" s="204"/>
      <c r="BB48" s="204"/>
      <c r="BC48" s="204"/>
      <c r="BD48" s="204"/>
      <c r="BE48" s="204"/>
      <c r="BF48" s="204"/>
      <c r="BG48" s="204"/>
      <c r="BH48" s="204"/>
      <c r="BI48" s="204"/>
      <c r="BJ48" s="204"/>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c r="DA48" s="204"/>
      <c r="DB48" s="204"/>
      <c r="DC48" s="204"/>
      <c r="DD48" s="204"/>
      <c r="DE48" s="204"/>
      <c r="DF48" s="204"/>
      <c r="DG48" s="204"/>
      <c r="DH48" s="204"/>
      <c r="DI48" s="204"/>
      <c r="DJ48" s="204"/>
      <c r="DK48" s="204"/>
      <c r="DL48" s="204"/>
      <c r="DM48" s="204"/>
      <c r="DN48" s="204"/>
      <c r="DO48" s="204"/>
      <c r="DP48" s="204"/>
      <c r="DQ48" s="204"/>
      <c r="DR48" s="204"/>
      <c r="DS48" s="204"/>
      <c r="DT48" s="204"/>
      <c r="DU48" s="204"/>
      <c r="DV48" s="204"/>
      <c r="DW48" s="204"/>
      <c r="DX48" s="204"/>
      <c r="DY48" s="194"/>
      <c r="DZ48" s="204"/>
      <c r="EA48" s="204"/>
      <c r="EB48" s="204"/>
      <c r="EC48" s="204"/>
      <c r="ED48" s="204"/>
      <c r="EE48" s="204"/>
      <c r="EF48" s="204"/>
      <c r="EG48" s="204"/>
      <c r="EH48" s="204"/>
      <c r="EI48" s="204"/>
      <c r="EJ48" s="204"/>
      <c r="EK48" s="204"/>
      <c r="EL48" s="204"/>
      <c r="EM48" s="204"/>
      <c r="EN48" s="204"/>
      <c r="EO48" s="204"/>
      <c r="EP48" s="204"/>
      <c r="EQ48" s="204"/>
      <c r="ER48" s="204"/>
      <c r="ES48" s="204"/>
      <c r="ET48" s="204"/>
      <c r="EU48" s="204"/>
      <c r="EV48" s="204"/>
      <c r="EW48" s="204"/>
      <c r="EX48" s="204"/>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c r="GC48" s="204"/>
      <c r="GD48" s="204"/>
      <c r="GE48" s="204"/>
      <c r="GF48" s="204"/>
      <c r="GG48" s="204"/>
      <c r="GH48" s="204"/>
      <c r="GI48" s="204"/>
      <c r="GJ48" s="204"/>
      <c r="GK48" s="204"/>
      <c r="GL48" s="204"/>
      <c r="GM48" s="204"/>
      <c r="GN48" s="204"/>
      <c r="GO48" s="204"/>
      <c r="GP48" s="204"/>
      <c r="GQ48" s="204"/>
      <c r="GR48" s="204"/>
      <c r="GS48" s="204"/>
      <c r="GT48" s="204"/>
      <c r="GU48" s="204"/>
      <c r="GV48" s="204"/>
      <c r="GW48" s="204"/>
      <c r="GX48" s="204"/>
      <c r="GY48" s="204"/>
      <c r="GZ48" s="204"/>
      <c r="HA48" s="204"/>
      <c r="HB48" s="204"/>
      <c r="HC48" s="204"/>
      <c r="HD48" s="204"/>
      <c r="HE48" s="204"/>
      <c r="HF48" s="204"/>
      <c r="HG48" s="204"/>
      <c r="HH48" s="204"/>
      <c r="HI48" s="204"/>
      <c r="HJ48" s="204"/>
      <c r="HK48" s="204"/>
      <c r="HL48" s="204"/>
      <c r="HM48" s="204"/>
      <c r="HN48" s="204"/>
      <c r="HO48" s="204"/>
      <c r="HP48" s="204"/>
      <c r="HQ48" s="204"/>
    </row>
    <row r="49" spans="1:225" ht="13.2">
      <c r="A49" s="168"/>
      <c r="B49" s="168"/>
      <c r="C49" s="168"/>
      <c r="D49" s="178"/>
      <c r="E49" s="169"/>
      <c r="F49" s="169"/>
      <c r="G49" s="169"/>
      <c r="H49" s="169"/>
      <c r="I49" s="211"/>
      <c r="J49" s="210" t="s">
        <v>1240</v>
      </c>
      <c r="K49" s="169"/>
      <c r="L49" s="169"/>
      <c r="M49" s="146">
        <v>43585</v>
      </c>
      <c r="N49" s="146">
        <v>43590</v>
      </c>
      <c r="O49" s="169"/>
      <c r="P49" s="170">
        <v>8</v>
      </c>
      <c r="Q49" s="170">
        <v>0</v>
      </c>
      <c r="R49" s="171"/>
      <c r="S49" s="171"/>
      <c r="T49" s="146"/>
      <c r="U49" s="146"/>
      <c r="V49" s="172"/>
      <c r="W49" s="173"/>
      <c r="X49" s="174">
        <v>1</v>
      </c>
      <c r="Y49" s="211" t="s">
        <v>1193</v>
      </c>
      <c r="Z49" s="219"/>
      <c r="AA49" s="176"/>
      <c r="AB49" s="177"/>
      <c r="AC49" s="220" t="s">
        <v>1226</v>
      </c>
      <c r="AD49" s="205"/>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204"/>
      <c r="BC49" s="204"/>
      <c r="BD49" s="204"/>
      <c r="BE49" s="204"/>
      <c r="BF49" s="204"/>
      <c r="BG49" s="204"/>
      <c r="BH49" s="204"/>
      <c r="BI49" s="204"/>
      <c r="BJ49" s="204"/>
      <c r="BK49" s="204"/>
      <c r="BL49" s="204"/>
      <c r="BM49" s="204"/>
      <c r="BN49" s="204"/>
      <c r="BO49" s="204"/>
      <c r="BP49" s="204"/>
      <c r="BQ49" s="204"/>
      <c r="BR49" s="204"/>
      <c r="BS49" s="204"/>
      <c r="BT49" s="204"/>
      <c r="BU49" s="204"/>
      <c r="BV49" s="204"/>
      <c r="BW49" s="204"/>
      <c r="BX49" s="204"/>
      <c r="BY49" s="204"/>
      <c r="BZ49" s="204"/>
      <c r="CA49" s="204"/>
      <c r="CB49" s="204"/>
      <c r="CC49" s="204"/>
      <c r="CD49" s="204"/>
      <c r="CE49" s="204"/>
      <c r="CF49" s="204"/>
      <c r="CG49" s="204"/>
      <c r="CH49" s="204"/>
      <c r="CI49" s="204"/>
      <c r="CJ49" s="204"/>
      <c r="CK49" s="204"/>
      <c r="CL49" s="204"/>
      <c r="CM49" s="204"/>
      <c r="CN49" s="204"/>
      <c r="CO49" s="204"/>
      <c r="CP49" s="204"/>
      <c r="CQ49" s="204"/>
      <c r="CR49" s="204"/>
      <c r="CS49" s="204"/>
      <c r="CT49" s="204"/>
      <c r="CU49" s="204"/>
      <c r="CV49" s="204"/>
      <c r="CW49" s="204"/>
      <c r="CX49" s="204"/>
      <c r="CY49" s="204"/>
      <c r="CZ49" s="204"/>
      <c r="DA49" s="204"/>
      <c r="DB49" s="204"/>
      <c r="DC49" s="204"/>
      <c r="DD49" s="204"/>
      <c r="DE49" s="204"/>
      <c r="DF49" s="204"/>
      <c r="DG49" s="204"/>
      <c r="DH49" s="204"/>
      <c r="DI49" s="204"/>
      <c r="DJ49" s="204"/>
      <c r="DK49" s="204"/>
      <c r="DL49" s="204"/>
      <c r="DM49" s="204"/>
      <c r="DN49" s="204"/>
      <c r="DO49" s="204"/>
      <c r="DP49" s="204"/>
      <c r="DQ49" s="204"/>
      <c r="DR49" s="204"/>
      <c r="DS49" s="204"/>
      <c r="DT49" s="204"/>
      <c r="DU49" s="204"/>
      <c r="DV49" s="204"/>
      <c r="DW49" s="204"/>
      <c r="DX49" s="204"/>
      <c r="DY49" s="194"/>
      <c r="DZ49" s="204"/>
      <c r="EA49" s="204"/>
      <c r="EB49" s="204"/>
      <c r="EC49" s="204"/>
      <c r="ED49" s="204"/>
      <c r="EE49" s="204"/>
      <c r="EF49" s="204"/>
      <c r="EG49" s="204"/>
      <c r="EH49" s="204"/>
      <c r="EI49" s="204"/>
      <c r="EJ49" s="204"/>
      <c r="EK49" s="204"/>
      <c r="EL49" s="204"/>
      <c r="EM49" s="204"/>
      <c r="EN49" s="204"/>
      <c r="EO49" s="204"/>
      <c r="EP49" s="204"/>
      <c r="EQ49" s="204"/>
      <c r="ER49" s="204"/>
      <c r="ES49" s="204"/>
      <c r="ET49" s="204"/>
      <c r="EU49" s="204"/>
      <c r="EV49" s="204"/>
      <c r="EW49" s="204"/>
      <c r="EX49" s="204"/>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c r="GC49" s="204"/>
      <c r="GD49" s="204"/>
      <c r="GE49" s="204"/>
      <c r="GF49" s="204"/>
      <c r="GG49" s="204"/>
      <c r="GH49" s="204"/>
      <c r="GI49" s="204"/>
      <c r="GJ49" s="204"/>
      <c r="GK49" s="204"/>
      <c r="GL49" s="204"/>
      <c r="GM49" s="204"/>
      <c r="GN49" s="204"/>
      <c r="GO49" s="204"/>
      <c r="GP49" s="204"/>
      <c r="GQ49" s="204"/>
      <c r="GR49" s="204"/>
      <c r="GS49" s="204"/>
      <c r="GT49" s="204"/>
      <c r="GU49" s="204"/>
      <c r="GV49" s="204"/>
      <c r="GW49" s="204"/>
      <c r="GX49" s="204"/>
      <c r="GY49" s="204"/>
      <c r="GZ49" s="204"/>
      <c r="HA49" s="204"/>
      <c r="HB49" s="204"/>
      <c r="HC49" s="204"/>
      <c r="HD49" s="204"/>
      <c r="HE49" s="204"/>
      <c r="HF49" s="204"/>
      <c r="HG49" s="204"/>
      <c r="HH49" s="204"/>
      <c r="HI49" s="204"/>
      <c r="HJ49" s="204"/>
      <c r="HK49" s="204"/>
      <c r="HL49" s="204"/>
      <c r="HM49" s="204"/>
      <c r="HN49" s="204"/>
      <c r="HO49" s="204"/>
      <c r="HP49" s="204"/>
      <c r="HQ49" s="204"/>
    </row>
    <row r="50" spans="1:225" ht="13.2">
      <c r="A50" s="168"/>
      <c r="B50" s="168"/>
      <c r="C50" s="168"/>
      <c r="D50" s="178"/>
      <c r="E50" s="169"/>
      <c r="F50" s="169"/>
      <c r="G50" s="169"/>
      <c r="H50" s="169"/>
      <c r="I50" s="211"/>
      <c r="J50" s="210" t="s">
        <v>1201</v>
      </c>
      <c r="K50" s="169"/>
      <c r="L50" s="169"/>
      <c r="M50" s="146">
        <v>43590</v>
      </c>
      <c r="N50" s="146">
        <v>43595</v>
      </c>
      <c r="O50" s="169"/>
      <c r="P50" s="170">
        <v>8</v>
      </c>
      <c r="Q50" s="170">
        <v>0</v>
      </c>
      <c r="R50" s="171"/>
      <c r="S50" s="171"/>
      <c r="T50" s="146"/>
      <c r="U50" s="146"/>
      <c r="V50" s="172"/>
      <c r="W50" s="173"/>
      <c r="X50" s="174">
        <v>1</v>
      </c>
      <c r="Y50" s="211" t="s">
        <v>1193</v>
      </c>
      <c r="Z50" s="219" t="s">
        <v>1223</v>
      </c>
      <c r="AA50" s="176"/>
      <c r="AB50" s="177"/>
      <c r="AC50" s="220" t="s">
        <v>1227</v>
      </c>
      <c r="AD50" s="205"/>
      <c r="AE50" s="204"/>
      <c r="AF50" s="204"/>
      <c r="AG50" s="204"/>
      <c r="AH50" s="204"/>
      <c r="AI50" s="204"/>
      <c r="AJ50" s="204"/>
      <c r="AK50" s="204"/>
      <c r="AL50" s="204"/>
      <c r="AM50" s="204"/>
      <c r="AN50" s="204"/>
      <c r="AO50" s="204"/>
      <c r="AP50" s="204"/>
      <c r="AQ50" s="204"/>
      <c r="AR50" s="204"/>
      <c r="AS50" s="204"/>
      <c r="AT50" s="204"/>
      <c r="AU50" s="204"/>
      <c r="AV50" s="204"/>
      <c r="AW50" s="204"/>
      <c r="AX50" s="204"/>
      <c r="AY50" s="204"/>
      <c r="AZ50" s="204"/>
      <c r="BA50" s="204"/>
      <c r="BB50" s="204"/>
      <c r="BC50" s="204"/>
      <c r="BD50" s="204"/>
      <c r="BE50" s="204"/>
      <c r="BF50" s="204"/>
      <c r="BG50" s="204"/>
      <c r="BH50" s="204"/>
      <c r="BI50" s="204"/>
      <c r="BJ50" s="204"/>
      <c r="BK50" s="204"/>
      <c r="BL50" s="204"/>
      <c r="BM50" s="204"/>
      <c r="BN50" s="204"/>
      <c r="BO50" s="204"/>
      <c r="BP50" s="204"/>
      <c r="BQ50" s="204"/>
      <c r="BR50" s="204"/>
      <c r="BS50" s="204"/>
      <c r="BT50" s="204"/>
      <c r="BU50" s="204"/>
      <c r="BV50" s="204"/>
      <c r="BW50" s="204"/>
      <c r="BX50" s="204"/>
      <c r="BY50" s="204"/>
      <c r="BZ50" s="204"/>
      <c r="CA50" s="204"/>
      <c r="CB50" s="204"/>
      <c r="CC50" s="204"/>
      <c r="CD50" s="204"/>
      <c r="CE50" s="204"/>
      <c r="CF50" s="204"/>
      <c r="CG50" s="204"/>
      <c r="CH50" s="204"/>
      <c r="CI50" s="204"/>
      <c r="CJ50" s="204"/>
      <c r="CK50" s="204"/>
      <c r="CL50" s="204"/>
      <c r="CM50" s="204"/>
      <c r="CN50" s="204"/>
      <c r="CO50" s="204"/>
      <c r="CP50" s="204"/>
      <c r="CQ50" s="204"/>
      <c r="CR50" s="204"/>
      <c r="CS50" s="204"/>
      <c r="CT50" s="204"/>
      <c r="CU50" s="204"/>
      <c r="CV50" s="204"/>
      <c r="CW50" s="204"/>
      <c r="CX50" s="204"/>
      <c r="CY50" s="204"/>
      <c r="CZ50" s="204"/>
      <c r="DA50" s="204"/>
      <c r="DB50" s="204"/>
      <c r="DC50" s="204"/>
      <c r="DD50" s="204"/>
      <c r="DE50" s="204"/>
      <c r="DF50" s="204"/>
      <c r="DG50" s="204"/>
      <c r="DH50" s="204"/>
      <c r="DI50" s="204"/>
      <c r="DJ50" s="204"/>
      <c r="DK50" s="204"/>
      <c r="DL50" s="204"/>
      <c r="DM50" s="204"/>
      <c r="DN50" s="204"/>
      <c r="DO50" s="204"/>
      <c r="DP50" s="204"/>
      <c r="DQ50" s="204"/>
      <c r="DR50" s="204"/>
      <c r="DS50" s="204"/>
      <c r="DT50" s="204"/>
      <c r="DU50" s="204"/>
      <c r="DV50" s="204"/>
      <c r="DW50" s="204"/>
      <c r="DX50" s="204"/>
      <c r="DY50" s="194"/>
      <c r="DZ50" s="204"/>
      <c r="EA50" s="204"/>
      <c r="EB50" s="204"/>
      <c r="EC50" s="204"/>
      <c r="ED50" s="204"/>
      <c r="EE50" s="204"/>
      <c r="EF50" s="204"/>
      <c r="EG50" s="204"/>
      <c r="EH50" s="204"/>
      <c r="EI50" s="204"/>
      <c r="EJ50" s="204"/>
      <c r="EK50" s="204"/>
      <c r="EL50" s="204"/>
      <c r="EM50" s="204"/>
      <c r="EN50" s="204"/>
      <c r="EO50" s="204"/>
      <c r="EP50" s="204"/>
      <c r="EQ50" s="204"/>
      <c r="ER50" s="204"/>
      <c r="ES50" s="204"/>
      <c r="ET50" s="204"/>
      <c r="EU50" s="204"/>
      <c r="EV50" s="204"/>
      <c r="EW50" s="204"/>
      <c r="EX50" s="204"/>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c r="GC50" s="204"/>
      <c r="GD50" s="204"/>
      <c r="GE50" s="204"/>
      <c r="GF50" s="204"/>
      <c r="GG50" s="204"/>
      <c r="GH50" s="204"/>
      <c r="GI50" s="204"/>
      <c r="GJ50" s="204"/>
      <c r="GK50" s="204"/>
      <c r="GL50" s="204"/>
      <c r="GM50" s="204"/>
      <c r="GN50" s="204"/>
      <c r="GO50" s="204"/>
      <c r="GP50" s="204"/>
      <c r="GQ50" s="204"/>
      <c r="GR50" s="204"/>
      <c r="GS50" s="204"/>
      <c r="GT50" s="204"/>
      <c r="GU50" s="204"/>
      <c r="GV50" s="204"/>
      <c r="GW50" s="204"/>
      <c r="GX50" s="204"/>
      <c r="GY50" s="204"/>
      <c r="GZ50" s="204"/>
      <c r="HA50" s="204"/>
      <c r="HB50" s="204"/>
      <c r="HC50" s="204"/>
      <c r="HD50" s="204"/>
      <c r="HE50" s="204"/>
      <c r="HF50" s="204"/>
      <c r="HG50" s="204"/>
      <c r="HH50" s="204"/>
      <c r="HI50" s="204"/>
      <c r="HJ50" s="204"/>
      <c r="HK50" s="204"/>
      <c r="HL50" s="204"/>
      <c r="HM50" s="204"/>
      <c r="HN50" s="204"/>
      <c r="HO50" s="204"/>
      <c r="HP50" s="204"/>
      <c r="HQ50" s="204"/>
    </row>
    <row r="51" spans="1:225" ht="13.2">
      <c r="A51" s="168"/>
      <c r="B51" s="168"/>
      <c r="C51" s="168"/>
      <c r="D51" s="178"/>
      <c r="E51" s="169"/>
      <c r="F51" s="169"/>
      <c r="G51" s="169"/>
      <c r="H51" s="169"/>
      <c r="I51" s="211"/>
      <c r="J51" s="210" t="s">
        <v>1205</v>
      </c>
      <c r="K51" s="169"/>
      <c r="L51" s="169"/>
      <c r="M51" s="146">
        <v>43600</v>
      </c>
      <c r="N51" s="146">
        <v>43617</v>
      </c>
      <c r="O51" s="169"/>
      <c r="P51" s="170">
        <v>5</v>
      </c>
      <c r="Q51" s="170">
        <v>0</v>
      </c>
      <c r="R51" s="171"/>
      <c r="S51" s="171"/>
      <c r="T51" s="146"/>
      <c r="U51" s="146"/>
      <c r="V51" s="172"/>
      <c r="W51" s="173"/>
      <c r="X51" s="174">
        <v>1</v>
      </c>
      <c r="Y51" s="211" t="s">
        <v>1168</v>
      </c>
      <c r="Z51" s="219" t="s">
        <v>1224</v>
      </c>
      <c r="AA51" s="176"/>
      <c r="AB51" s="177"/>
      <c r="AC51" s="220" t="s">
        <v>1228</v>
      </c>
      <c r="AD51" s="205"/>
      <c r="AE51" s="204"/>
      <c r="AF51" s="204"/>
      <c r="AG51" s="204"/>
      <c r="AH51" s="204"/>
      <c r="AI51" s="204"/>
      <c r="AJ51" s="204"/>
      <c r="AK51" s="204"/>
      <c r="AL51" s="204"/>
      <c r="AM51" s="204"/>
      <c r="AN51" s="204"/>
      <c r="AO51" s="204"/>
      <c r="AP51" s="204"/>
      <c r="AQ51" s="204"/>
      <c r="AR51" s="204"/>
      <c r="AS51" s="204"/>
      <c r="AT51" s="204"/>
      <c r="AU51" s="204"/>
      <c r="AV51" s="204"/>
      <c r="AW51" s="204"/>
      <c r="AX51" s="204"/>
      <c r="AY51" s="204"/>
      <c r="AZ51" s="204"/>
      <c r="BA51" s="204"/>
      <c r="BB51" s="204"/>
      <c r="BC51" s="204"/>
      <c r="BD51" s="204"/>
      <c r="BE51" s="204"/>
      <c r="BF51" s="204"/>
      <c r="BG51" s="204"/>
      <c r="BH51" s="204"/>
      <c r="BI51" s="204"/>
      <c r="BJ51" s="204"/>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04"/>
      <c r="CI51" s="204"/>
      <c r="CJ51" s="204"/>
      <c r="CK51" s="204"/>
      <c r="CL51" s="204"/>
      <c r="CM51" s="204"/>
      <c r="CN51" s="204"/>
      <c r="CO51" s="204"/>
      <c r="CP51" s="204"/>
      <c r="CQ51" s="204"/>
      <c r="CR51" s="204"/>
      <c r="CS51" s="204"/>
      <c r="CT51" s="204"/>
      <c r="CU51" s="204"/>
      <c r="CV51" s="204"/>
      <c r="CW51" s="204"/>
      <c r="CX51" s="204"/>
      <c r="CY51" s="204"/>
      <c r="CZ51" s="204"/>
      <c r="DA51" s="204"/>
      <c r="DB51" s="204"/>
      <c r="DC51" s="204"/>
      <c r="DD51" s="204"/>
      <c r="DE51" s="204"/>
      <c r="DF51" s="204"/>
      <c r="DG51" s="204"/>
      <c r="DH51" s="204"/>
      <c r="DI51" s="204"/>
      <c r="DJ51" s="204"/>
      <c r="DK51" s="204"/>
      <c r="DL51" s="204"/>
      <c r="DM51" s="204"/>
      <c r="DN51" s="204"/>
      <c r="DO51" s="204"/>
      <c r="DP51" s="204"/>
      <c r="DQ51" s="204"/>
      <c r="DR51" s="204"/>
      <c r="DS51" s="204"/>
      <c r="DT51" s="204"/>
      <c r="DU51" s="204"/>
      <c r="DV51" s="204"/>
      <c r="DW51" s="204"/>
      <c r="DX51" s="204"/>
      <c r="DY51" s="194"/>
      <c r="DZ51" s="204"/>
      <c r="EA51" s="204"/>
      <c r="EB51" s="204"/>
      <c r="EC51" s="204"/>
      <c r="ED51" s="204"/>
      <c r="EE51" s="204"/>
      <c r="EF51" s="204"/>
      <c r="EG51" s="204"/>
      <c r="EH51" s="204"/>
      <c r="EI51" s="204"/>
      <c r="EJ51" s="204"/>
      <c r="EK51" s="204"/>
      <c r="EL51" s="204"/>
      <c r="EM51" s="204"/>
      <c r="EN51" s="204"/>
      <c r="EO51" s="204"/>
      <c r="EP51" s="204"/>
      <c r="EQ51" s="204"/>
      <c r="ER51" s="204"/>
      <c r="ES51" s="204"/>
      <c r="ET51" s="204"/>
      <c r="EU51" s="204"/>
      <c r="EV51" s="204"/>
      <c r="EW51" s="204"/>
      <c r="EX51" s="204"/>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c r="GC51" s="204"/>
      <c r="GD51" s="204"/>
      <c r="GE51" s="204"/>
      <c r="GF51" s="204"/>
      <c r="GG51" s="204"/>
      <c r="GH51" s="204"/>
      <c r="GI51" s="204"/>
      <c r="GJ51" s="204"/>
      <c r="GK51" s="204"/>
      <c r="GL51" s="204"/>
      <c r="GM51" s="204"/>
      <c r="GN51" s="204"/>
      <c r="GO51" s="204"/>
      <c r="GP51" s="204"/>
      <c r="GQ51" s="204"/>
      <c r="GR51" s="204"/>
      <c r="GS51" s="204"/>
      <c r="GT51" s="204"/>
      <c r="GU51" s="204"/>
      <c r="GV51" s="204"/>
      <c r="GW51" s="204"/>
      <c r="GX51" s="204"/>
      <c r="GY51" s="204"/>
      <c r="GZ51" s="204"/>
      <c r="HA51" s="204"/>
      <c r="HB51" s="204"/>
      <c r="HC51" s="204"/>
      <c r="HD51" s="204"/>
      <c r="HE51" s="204"/>
      <c r="HF51" s="204"/>
      <c r="HG51" s="204"/>
      <c r="HH51" s="204"/>
      <c r="HI51" s="204"/>
      <c r="HJ51" s="204"/>
      <c r="HK51" s="204"/>
      <c r="HL51" s="204"/>
      <c r="HM51" s="204"/>
      <c r="HN51" s="204"/>
      <c r="HO51" s="204"/>
      <c r="HP51" s="204"/>
      <c r="HQ51" s="204"/>
    </row>
    <row r="52" spans="1:225" ht="13.2">
      <c r="A52" s="168"/>
      <c r="B52" s="168"/>
      <c r="C52" s="168">
        <v>5</v>
      </c>
      <c r="D52" s="178" t="s">
        <v>1050</v>
      </c>
      <c r="E52" s="169"/>
      <c r="F52" s="169"/>
      <c r="G52" s="169"/>
      <c r="H52" s="169"/>
      <c r="I52" s="211" t="s">
        <v>1183</v>
      </c>
      <c r="J52" s="169"/>
      <c r="K52" s="169"/>
      <c r="L52" s="169"/>
      <c r="M52" s="146">
        <v>43544</v>
      </c>
      <c r="N52" s="146">
        <v>43595</v>
      </c>
      <c r="O52" s="169"/>
      <c r="P52" s="170">
        <v>33</v>
      </c>
      <c r="Q52" s="170">
        <v>0</v>
      </c>
      <c r="R52" s="171" t="e">
        <f ca="1">IF(M52="","0",(N52-M52+1)-COUNTIFS(INDIRECT(getCalendarRange(O52)),"&gt;=" &amp; M52,INDIRECT(getCalendarRange(O52)),"&lt;=" &amp; N52))</f>
        <v>#NAME?</v>
      </c>
      <c r="S52" s="171">
        <f ca="1">IF(M52&gt;TODAY(),0,IF(N52&lt;TODAY(),R52,(TODAY()-M52+1)-COUNTIFS(INDIRECT(getCalendarRange(O52)),"&gt;=" &amp; M52,INDIRECT(getCalendarRange(O52)),"&lt;=" &amp; TODAY())))</f>
        <v>0</v>
      </c>
      <c r="T52" s="146"/>
      <c r="U52" s="146"/>
      <c r="V52" s="172"/>
      <c r="W52" s="173" t="str">
        <f ca="1">IF(U52="","0",IF(T52="","0",(U52-T52+1)-COUNTIFS(INDIRECT(getCalendarRange(O52)),"&gt;=" &amp; T52,INDIRECT(getCalendarRange(O52)),"&lt;=" &amp; U52)))</f>
        <v>0</v>
      </c>
      <c r="X52" s="174">
        <v>1</v>
      </c>
      <c r="Y52" s="211" t="s">
        <v>1168</v>
      </c>
      <c r="Z52" s="175"/>
      <c r="AA52" s="176">
        <v>0</v>
      </c>
      <c r="AB52" s="177">
        <v>0</v>
      </c>
      <c r="AD52" s="205"/>
      <c r="AE52" s="204"/>
      <c r="AF52" s="204"/>
      <c r="AG52" s="204"/>
      <c r="AH52" s="204"/>
      <c r="AI52" s="204"/>
      <c r="AJ52" s="204"/>
      <c r="AK52" s="204"/>
      <c r="AL52" s="204"/>
      <c r="AM52" s="204"/>
      <c r="AN52" s="204"/>
      <c r="AO52" s="204"/>
      <c r="AP52" s="204"/>
      <c r="AQ52" s="204"/>
      <c r="AR52" s="204"/>
      <c r="AS52" s="204"/>
      <c r="AT52" s="204"/>
      <c r="AU52" s="204"/>
      <c r="AV52" s="204"/>
      <c r="AW52" s="204"/>
      <c r="AX52" s="204"/>
      <c r="AY52" s="204"/>
      <c r="AZ52" s="204"/>
      <c r="BA52" s="204"/>
      <c r="BB52" s="204"/>
      <c r="BC52" s="204"/>
      <c r="BD52" s="204"/>
      <c r="BE52" s="204"/>
      <c r="BF52" s="204"/>
      <c r="BG52" s="204"/>
      <c r="BH52" s="204"/>
      <c r="BI52" s="204"/>
      <c r="BJ52" s="204"/>
      <c r="BK52" s="204"/>
      <c r="BL52" s="204"/>
      <c r="BM52" s="204"/>
      <c r="BN52" s="204"/>
      <c r="BO52" s="204"/>
      <c r="BP52" s="204"/>
      <c r="BQ52" s="204"/>
      <c r="BR52" s="204"/>
      <c r="BS52" s="204"/>
      <c r="BT52" s="204"/>
      <c r="BU52" s="204"/>
      <c r="BV52" s="204"/>
      <c r="BW52" s="204"/>
      <c r="BX52" s="204"/>
      <c r="BY52" s="204"/>
      <c r="BZ52" s="204"/>
      <c r="CA52" s="204"/>
      <c r="CB52" s="204"/>
      <c r="CC52" s="204"/>
      <c r="CD52" s="204"/>
      <c r="CE52" s="204"/>
      <c r="CF52" s="204"/>
      <c r="CG52" s="204"/>
      <c r="CH52" s="204"/>
      <c r="CI52" s="204"/>
      <c r="CJ52" s="204"/>
      <c r="CK52" s="204"/>
      <c r="CL52" s="204"/>
      <c r="CM52" s="204"/>
      <c r="CN52" s="204"/>
      <c r="CO52" s="204"/>
      <c r="CP52" s="204"/>
      <c r="CQ52" s="204"/>
      <c r="CR52" s="204"/>
      <c r="CS52" s="204"/>
      <c r="CT52" s="204"/>
      <c r="CU52" s="204"/>
      <c r="CV52" s="204"/>
      <c r="CW52" s="204"/>
      <c r="CX52" s="204"/>
      <c r="CY52" s="204"/>
      <c r="CZ52" s="204"/>
      <c r="DA52" s="204"/>
      <c r="DB52" s="204"/>
      <c r="DC52" s="204"/>
      <c r="DD52" s="204"/>
      <c r="DE52" s="204"/>
      <c r="DF52" s="204"/>
      <c r="DG52" s="204"/>
      <c r="DH52" s="204"/>
      <c r="DI52" s="204"/>
      <c r="DJ52" s="204"/>
      <c r="DK52" s="204"/>
      <c r="DL52" s="204"/>
      <c r="DM52" s="204"/>
      <c r="DN52" s="204"/>
      <c r="DO52" s="204"/>
      <c r="DP52" s="204"/>
      <c r="DQ52" s="204"/>
      <c r="DR52" s="204"/>
      <c r="DS52" s="204"/>
      <c r="DT52" s="204"/>
      <c r="DU52" s="204"/>
      <c r="DV52" s="204"/>
      <c r="DW52" s="204"/>
      <c r="DX52" s="204" t="str">
        <f>I52 &amp; " " &amp; IF(M52="","",TEXT(M52,"M/D-")) &amp; IF(N52="","",TEXT(N52,"M/D")) &amp; " "</f>
        <v xml:space="preserve">모바일 프론트엔드 3/20-5/10 </v>
      </c>
      <c r="DY52" s="194" t="str">
        <f>TEXT(AB52,"#0.00%") &amp; " "</f>
        <v xml:space="preserve">0.00% </v>
      </c>
      <c r="DZ52" s="204"/>
      <c r="EA52" s="204"/>
      <c r="EB52" s="204"/>
      <c r="EC52" s="204"/>
      <c r="ED52" s="204"/>
      <c r="EE52" s="204"/>
      <c r="EF52" s="204"/>
      <c r="EG52" s="204"/>
      <c r="EH52" s="204"/>
      <c r="EI52" s="204"/>
      <c r="EJ52" s="204"/>
      <c r="EK52" s="204"/>
      <c r="EL52" s="204"/>
      <c r="EM52" s="204"/>
      <c r="EN52" s="204"/>
      <c r="EO52" s="204"/>
      <c r="EP52" s="204"/>
      <c r="EQ52" s="204"/>
      <c r="ER52" s="204"/>
      <c r="ES52" s="204"/>
      <c r="ET52" s="204"/>
      <c r="EU52" s="204"/>
      <c r="EV52" s="204"/>
      <c r="EW52" s="204"/>
      <c r="EX52" s="204"/>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c r="GC52" s="204"/>
      <c r="GD52" s="204"/>
      <c r="GE52" s="204"/>
      <c r="GF52" s="204"/>
      <c r="GG52" s="204"/>
      <c r="GH52" s="204"/>
      <c r="GI52" s="204"/>
      <c r="GJ52" s="204"/>
      <c r="GK52" s="204"/>
      <c r="GL52" s="204"/>
      <c r="GM52" s="204"/>
      <c r="GN52" s="204"/>
      <c r="GO52" s="204"/>
      <c r="GP52" s="204"/>
      <c r="GQ52" s="204"/>
      <c r="GR52" s="204"/>
      <c r="GS52" s="204"/>
      <c r="GT52" s="204"/>
      <c r="GU52" s="204"/>
      <c r="GV52" s="204"/>
      <c r="GW52" s="204"/>
      <c r="GX52" s="204"/>
      <c r="GY52" s="204"/>
      <c r="GZ52" s="204"/>
      <c r="HA52" s="204"/>
      <c r="HB52" s="204"/>
      <c r="HC52" s="204"/>
      <c r="HD52" s="204"/>
      <c r="HE52" s="204"/>
      <c r="HF52" s="204"/>
      <c r="HG52" s="204"/>
      <c r="HH52" s="204"/>
      <c r="HI52" s="204"/>
      <c r="HJ52" s="204"/>
      <c r="HK52" s="204"/>
      <c r="HL52" s="204"/>
      <c r="HM52" s="204"/>
      <c r="HN52" s="204"/>
      <c r="HO52" s="204"/>
      <c r="HP52" s="204"/>
      <c r="HQ52" s="204"/>
    </row>
    <row r="53" spans="1:225" ht="13.2">
      <c r="A53" s="168"/>
      <c r="B53" s="168"/>
      <c r="C53" s="168"/>
      <c r="D53" s="178"/>
      <c r="E53" s="169"/>
      <c r="F53" s="169"/>
      <c r="G53" s="169"/>
      <c r="H53" s="169"/>
      <c r="I53" s="211"/>
      <c r="J53" s="210" t="s">
        <v>1200</v>
      </c>
      <c r="K53" s="169"/>
      <c r="L53" s="169"/>
      <c r="M53" s="146">
        <v>43544</v>
      </c>
      <c r="N53" s="146">
        <v>43552</v>
      </c>
      <c r="O53" s="169"/>
      <c r="P53" s="170">
        <v>10</v>
      </c>
      <c r="Q53" s="170">
        <v>0</v>
      </c>
      <c r="R53" s="171"/>
      <c r="S53" s="171"/>
      <c r="T53" s="146"/>
      <c r="U53" s="146"/>
      <c r="V53" s="172"/>
      <c r="W53" s="173"/>
      <c r="X53" s="174">
        <v>1</v>
      </c>
      <c r="Y53" s="211" t="s">
        <v>1168</v>
      </c>
      <c r="Z53" s="222" t="s">
        <v>1229</v>
      </c>
      <c r="AA53" s="176"/>
      <c r="AB53" s="177"/>
      <c r="AC53" s="220" t="s">
        <v>1230</v>
      </c>
      <c r="AD53" s="205"/>
      <c r="AE53" s="204"/>
      <c r="AF53" s="204"/>
      <c r="AG53" s="204"/>
      <c r="AH53" s="204"/>
      <c r="AI53" s="204"/>
      <c r="AJ53" s="204"/>
      <c r="AK53" s="204"/>
      <c r="AL53" s="204"/>
      <c r="AM53" s="204"/>
      <c r="AN53" s="204"/>
      <c r="AO53" s="204"/>
      <c r="AP53" s="204"/>
      <c r="AQ53" s="204"/>
      <c r="AR53" s="204"/>
      <c r="AS53" s="204"/>
      <c r="AT53" s="204"/>
      <c r="AU53" s="204"/>
      <c r="AV53" s="204"/>
      <c r="AW53" s="204"/>
      <c r="AX53" s="204"/>
      <c r="AY53" s="204"/>
      <c r="AZ53" s="204"/>
      <c r="BA53" s="204"/>
      <c r="BB53" s="204"/>
      <c r="BC53" s="204"/>
      <c r="BD53" s="204"/>
      <c r="BE53" s="204"/>
      <c r="BF53" s="204"/>
      <c r="BG53" s="204"/>
      <c r="BH53" s="204"/>
      <c r="BI53" s="204"/>
      <c r="BJ53" s="204"/>
      <c r="BK53" s="204"/>
      <c r="BL53" s="204"/>
      <c r="BM53" s="204"/>
      <c r="BN53" s="204"/>
      <c r="BO53" s="204"/>
      <c r="BP53" s="204"/>
      <c r="BQ53" s="204"/>
      <c r="BR53" s="204"/>
      <c r="BS53" s="204"/>
      <c r="BT53" s="204"/>
      <c r="BU53" s="204"/>
      <c r="BV53" s="204"/>
      <c r="BW53" s="204"/>
      <c r="BX53" s="204"/>
      <c r="BY53" s="204"/>
      <c r="BZ53" s="204"/>
      <c r="CA53" s="204"/>
      <c r="CB53" s="204"/>
      <c r="CC53" s="204"/>
      <c r="CD53" s="204"/>
      <c r="CE53" s="204"/>
      <c r="CF53" s="204"/>
      <c r="CG53" s="204"/>
      <c r="CH53" s="204"/>
      <c r="CI53" s="204"/>
      <c r="CJ53" s="204"/>
      <c r="CK53" s="204"/>
      <c r="CL53" s="204"/>
      <c r="CM53" s="204"/>
      <c r="CN53" s="204"/>
      <c r="CO53" s="204"/>
      <c r="CP53" s="204"/>
      <c r="CQ53" s="204"/>
      <c r="CR53" s="204"/>
      <c r="CS53" s="204"/>
      <c r="CT53" s="204"/>
      <c r="CU53" s="204"/>
      <c r="CV53" s="204"/>
      <c r="CW53" s="204"/>
      <c r="CX53" s="204"/>
      <c r="CY53" s="204"/>
      <c r="CZ53" s="204"/>
      <c r="DA53" s="204"/>
      <c r="DB53" s="204"/>
      <c r="DC53" s="204"/>
      <c r="DD53" s="204"/>
      <c r="DE53" s="204"/>
      <c r="DF53" s="204"/>
      <c r="DG53" s="204"/>
      <c r="DH53" s="204"/>
      <c r="DI53" s="204"/>
      <c r="DJ53" s="204"/>
      <c r="DK53" s="204"/>
      <c r="DL53" s="204"/>
      <c r="DM53" s="204"/>
      <c r="DN53" s="204"/>
      <c r="DO53" s="204"/>
      <c r="DP53" s="204"/>
      <c r="DQ53" s="204"/>
      <c r="DR53" s="204"/>
      <c r="DS53" s="204"/>
      <c r="DT53" s="204"/>
      <c r="DU53" s="204"/>
      <c r="DV53" s="204"/>
      <c r="DW53" s="204"/>
      <c r="DX53" s="204"/>
      <c r="DY53" s="194"/>
      <c r="DZ53" s="204"/>
      <c r="EA53" s="204"/>
      <c r="EB53" s="204"/>
      <c r="EC53" s="204"/>
      <c r="ED53" s="204"/>
      <c r="EE53" s="204"/>
      <c r="EF53" s="204"/>
      <c r="EG53" s="204"/>
      <c r="EH53" s="204"/>
      <c r="EI53" s="204"/>
      <c r="EJ53" s="204"/>
      <c r="EK53" s="204"/>
      <c r="EL53" s="204"/>
      <c r="EM53" s="204"/>
      <c r="EN53" s="204"/>
      <c r="EO53" s="204"/>
      <c r="EP53" s="204"/>
      <c r="EQ53" s="204"/>
      <c r="ER53" s="204"/>
      <c r="ES53" s="204"/>
      <c r="ET53" s="204"/>
      <c r="EU53" s="204"/>
      <c r="EV53" s="204"/>
      <c r="EW53" s="204"/>
      <c r="EX53" s="204"/>
      <c r="EY53" s="204"/>
      <c r="EZ53" s="204"/>
      <c r="FA53" s="204"/>
      <c r="FB53" s="204"/>
      <c r="FC53" s="204"/>
      <c r="FD53" s="204"/>
      <c r="FE53" s="204"/>
      <c r="FF53" s="204"/>
      <c r="FG53" s="204"/>
      <c r="FH53" s="204"/>
      <c r="FI53" s="204"/>
      <c r="FJ53" s="204"/>
      <c r="FK53" s="204"/>
      <c r="FL53" s="204"/>
      <c r="FM53" s="204"/>
      <c r="FN53" s="204"/>
      <c r="FO53" s="204"/>
      <c r="FP53" s="204"/>
      <c r="FQ53" s="204"/>
      <c r="FR53" s="204"/>
      <c r="FS53" s="204"/>
      <c r="FT53" s="204"/>
      <c r="FU53" s="204"/>
      <c r="FV53" s="204"/>
      <c r="FW53" s="204"/>
      <c r="FX53" s="204"/>
      <c r="FY53" s="204"/>
      <c r="FZ53" s="204"/>
      <c r="GA53" s="204"/>
      <c r="GB53" s="204"/>
      <c r="GC53" s="204"/>
      <c r="GD53" s="204"/>
      <c r="GE53" s="204"/>
      <c r="GF53" s="204"/>
      <c r="GG53" s="204"/>
      <c r="GH53" s="204"/>
      <c r="GI53" s="204"/>
      <c r="GJ53" s="204"/>
      <c r="GK53" s="204"/>
      <c r="GL53" s="204"/>
      <c r="GM53" s="204"/>
      <c r="GN53" s="204"/>
      <c r="GO53" s="204"/>
      <c r="GP53" s="204"/>
      <c r="GQ53" s="204"/>
      <c r="GR53" s="204"/>
      <c r="GS53" s="204"/>
      <c r="GT53" s="204"/>
      <c r="GU53" s="204"/>
      <c r="GV53" s="204"/>
      <c r="GW53" s="204"/>
      <c r="GX53" s="204"/>
      <c r="GY53" s="204"/>
      <c r="GZ53" s="204"/>
      <c r="HA53" s="204"/>
      <c r="HB53" s="204"/>
      <c r="HC53" s="204"/>
      <c r="HD53" s="204"/>
      <c r="HE53" s="204"/>
      <c r="HF53" s="204"/>
      <c r="HG53" s="204"/>
      <c r="HH53" s="204"/>
      <c r="HI53" s="204"/>
      <c r="HJ53" s="204"/>
      <c r="HK53" s="204"/>
      <c r="HL53" s="204"/>
      <c r="HM53" s="204"/>
      <c r="HN53" s="204"/>
      <c r="HO53" s="204"/>
      <c r="HP53" s="204"/>
      <c r="HQ53" s="204"/>
    </row>
    <row r="54" spans="1:225" ht="13.2">
      <c r="A54" s="168"/>
      <c r="B54" s="168"/>
      <c r="C54" s="168"/>
      <c r="D54" s="178"/>
      <c r="E54" s="169"/>
      <c r="F54" s="169"/>
      <c r="G54" s="169"/>
      <c r="H54" s="169"/>
      <c r="I54" s="211"/>
      <c r="J54" s="210" t="s">
        <v>1203</v>
      </c>
      <c r="K54" s="169"/>
      <c r="L54" s="169"/>
      <c r="M54" s="146">
        <v>43552</v>
      </c>
      <c r="N54" s="146">
        <v>43570</v>
      </c>
      <c r="O54" s="169"/>
      <c r="P54" s="170">
        <v>12</v>
      </c>
      <c r="Q54" s="170">
        <v>0</v>
      </c>
      <c r="R54" s="171"/>
      <c r="S54" s="171"/>
      <c r="T54" s="146"/>
      <c r="U54" s="146"/>
      <c r="V54" s="172"/>
      <c r="W54" s="173"/>
      <c r="X54" s="174">
        <v>1</v>
      </c>
      <c r="Y54" s="211" t="s">
        <v>1168</v>
      </c>
      <c r="Z54" s="222" t="s">
        <v>1231</v>
      </c>
      <c r="AA54" s="176"/>
      <c r="AB54" s="177"/>
      <c r="AC54" s="220" t="s">
        <v>1230</v>
      </c>
      <c r="AD54" s="205"/>
      <c r="AE54" s="204"/>
      <c r="AF54" s="204"/>
      <c r="AG54" s="204"/>
      <c r="AH54" s="204"/>
      <c r="AI54" s="204"/>
      <c r="AJ54" s="204"/>
      <c r="AK54" s="204"/>
      <c r="AL54" s="204"/>
      <c r="AM54" s="204"/>
      <c r="AN54" s="204"/>
      <c r="AO54" s="204"/>
      <c r="AP54" s="204"/>
      <c r="AQ54" s="204"/>
      <c r="AR54" s="204"/>
      <c r="AS54" s="204"/>
      <c r="AT54" s="204"/>
      <c r="AU54" s="204"/>
      <c r="AV54" s="204"/>
      <c r="AW54" s="204"/>
      <c r="AX54" s="204"/>
      <c r="AY54" s="204"/>
      <c r="AZ54" s="204"/>
      <c r="BA54" s="204"/>
      <c r="BB54" s="204"/>
      <c r="BC54" s="204"/>
      <c r="BD54" s="204"/>
      <c r="BE54" s="204"/>
      <c r="BF54" s="204"/>
      <c r="BG54" s="204"/>
      <c r="BH54" s="204"/>
      <c r="BI54" s="204"/>
      <c r="BJ54" s="204"/>
      <c r="BK54" s="204"/>
      <c r="BL54" s="204"/>
      <c r="BM54" s="204"/>
      <c r="BN54" s="204"/>
      <c r="BO54" s="204"/>
      <c r="BP54" s="204"/>
      <c r="BQ54" s="204"/>
      <c r="BR54" s="204"/>
      <c r="BS54" s="204"/>
      <c r="BT54" s="204"/>
      <c r="BU54" s="204"/>
      <c r="BV54" s="204"/>
      <c r="BW54" s="204"/>
      <c r="BX54" s="204"/>
      <c r="BY54" s="204"/>
      <c r="BZ54" s="204"/>
      <c r="CA54" s="204"/>
      <c r="CB54" s="204"/>
      <c r="CC54" s="204"/>
      <c r="CD54" s="204"/>
      <c r="CE54" s="204"/>
      <c r="CF54" s="204"/>
      <c r="CG54" s="204"/>
      <c r="CH54" s="204"/>
      <c r="CI54" s="204"/>
      <c r="CJ54" s="204"/>
      <c r="CK54" s="204"/>
      <c r="CL54" s="204"/>
      <c r="CM54" s="204"/>
      <c r="CN54" s="204"/>
      <c r="CO54" s="204"/>
      <c r="CP54" s="204"/>
      <c r="CQ54" s="204"/>
      <c r="CR54" s="204"/>
      <c r="CS54" s="204"/>
      <c r="CT54" s="204"/>
      <c r="CU54" s="204"/>
      <c r="CV54" s="204"/>
      <c r="CW54" s="204"/>
      <c r="CX54" s="204"/>
      <c r="CY54" s="204"/>
      <c r="CZ54" s="204"/>
      <c r="DA54" s="204"/>
      <c r="DB54" s="204"/>
      <c r="DC54" s="204"/>
      <c r="DD54" s="204"/>
      <c r="DE54" s="204"/>
      <c r="DF54" s="204"/>
      <c r="DG54" s="204"/>
      <c r="DH54" s="204"/>
      <c r="DI54" s="204"/>
      <c r="DJ54" s="204"/>
      <c r="DK54" s="204"/>
      <c r="DL54" s="204"/>
      <c r="DM54" s="204"/>
      <c r="DN54" s="204"/>
      <c r="DO54" s="204"/>
      <c r="DP54" s="204"/>
      <c r="DQ54" s="204"/>
      <c r="DR54" s="204"/>
      <c r="DS54" s="204"/>
      <c r="DT54" s="204"/>
      <c r="DU54" s="204"/>
      <c r="DV54" s="204"/>
      <c r="DW54" s="204"/>
      <c r="DX54" s="204"/>
      <c r="DY54" s="194"/>
      <c r="DZ54" s="204"/>
      <c r="EA54" s="204"/>
      <c r="EB54" s="204"/>
      <c r="EC54" s="204"/>
      <c r="ED54" s="204"/>
      <c r="EE54" s="204"/>
      <c r="EF54" s="204"/>
      <c r="EG54" s="204"/>
      <c r="EH54" s="204"/>
      <c r="EI54" s="204"/>
      <c r="EJ54" s="204"/>
      <c r="EK54" s="204"/>
      <c r="EL54" s="204"/>
      <c r="EM54" s="204"/>
      <c r="EN54" s="204"/>
      <c r="EO54" s="204"/>
      <c r="EP54" s="204"/>
      <c r="EQ54" s="204"/>
      <c r="ER54" s="204"/>
      <c r="ES54" s="204"/>
      <c r="ET54" s="204"/>
      <c r="EU54" s="204"/>
      <c r="EV54" s="204"/>
      <c r="EW54" s="204"/>
      <c r="EX54" s="204"/>
      <c r="EY54" s="204"/>
      <c r="EZ54" s="204"/>
      <c r="FA54" s="204"/>
      <c r="FB54" s="204"/>
      <c r="FC54" s="204"/>
      <c r="FD54" s="204"/>
      <c r="FE54" s="204"/>
      <c r="FF54" s="204"/>
      <c r="FG54" s="204"/>
      <c r="FH54" s="204"/>
      <c r="FI54" s="204"/>
      <c r="FJ54" s="204"/>
      <c r="FK54" s="204"/>
      <c r="FL54" s="204"/>
      <c r="FM54" s="204"/>
      <c r="FN54" s="204"/>
      <c r="FO54" s="204"/>
      <c r="FP54" s="204"/>
      <c r="FQ54" s="204"/>
      <c r="FR54" s="204"/>
      <c r="FS54" s="204"/>
      <c r="FT54" s="204"/>
      <c r="FU54" s="204"/>
      <c r="FV54" s="204"/>
      <c r="FW54" s="204"/>
      <c r="FX54" s="204"/>
      <c r="FY54" s="204"/>
      <c r="FZ54" s="204"/>
      <c r="GA54" s="204"/>
      <c r="GB54" s="204"/>
      <c r="GC54" s="204"/>
      <c r="GD54" s="204"/>
      <c r="GE54" s="204"/>
      <c r="GF54" s="204"/>
      <c r="GG54" s="204"/>
      <c r="GH54" s="204"/>
      <c r="GI54" s="204"/>
      <c r="GJ54" s="204"/>
      <c r="GK54" s="204"/>
      <c r="GL54" s="204"/>
      <c r="GM54" s="204"/>
      <c r="GN54" s="204"/>
      <c r="GO54" s="204"/>
      <c r="GP54" s="204"/>
      <c r="GQ54" s="204"/>
      <c r="GR54" s="204"/>
      <c r="GS54" s="204"/>
      <c r="GT54" s="204"/>
      <c r="GU54" s="204"/>
      <c r="GV54" s="204"/>
      <c r="GW54" s="204"/>
      <c r="GX54" s="204"/>
      <c r="GY54" s="204"/>
      <c r="GZ54" s="204"/>
      <c r="HA54" s="204"/>
      <c r="HB54" s="204"/>
      <c r="HC54" s="204"/>
      <c r="HD54" s="204"/>
      <c r="HE54" s="204"/>
      <c r="HF54" s="204"/>
      <c r="HG54" s="204"/>
      <c r="HH54" s="204"/>
      <c r="HI54" s="204"/>
      <c r="HJ54" s="204"/>
      <c r="HK54" s="204"/>
      <c r="HL54" s="204"/>
      <c r="HM54" s="204"/>
      <c r="HN54" s="204"/>
      <c r="HO54" s="204"/>
      <c r="HP54" s="204"/>
      <c r="HQ54" s="204"/>
    </row>
    <row r="55" spans="1:225" ht="13.2">
      <c r="A55" s="168"/>
      <c r="B55" s="168"/>
      <c r="C55" s="168"/>
      <c r="D55" s="178"/>
      <c r="E55" s="169"/>
      <c r="F55" s="169"/>
      <c r="G55" s="169"/>
      <c r="H55" s="169"/>
      <c r="I55" s="211"/>
      <c r="J55" s="210" t="s">
        <v>1234</v>
      </c>
      <c r="K55" s="169"/>
      <c r="L55" s="210" t="s">
        <v>1235</v>
      </c>
      <c r="M55" s="146">
        <v>43565</v>
      </c>
      <c r="N55" s="146">
        <v>43570</v>
      </c>
      <c r="O55" s="169"/>
      <c r="P55" s="170">
        <v>1</v>
      </c>
      <c r="Q55" s="170">
        <v>0</v>
      </c>
      <c r="R55" s="171"/>
      <c r="S55" s="171"/>
      <c r="T55" s="146"/>
      <c r="U55" s="146"/>
      <c r="V55" s="172"/>
      <c r="W55" s="173"/>
      <c r="X55" s="174">
        <v>1</v>
      </c>
      <c r="Y55" s="211" t="s">
        <v>1168</v>
      </c>
      <c r="Z55" s="222" t="s">
        <v>1236</v>
      </c>
      <c r="AA55" s="176"/>
      <c r="AB55" s="177"/>
      <c r="AC55" s="220" t="s">
        <v>1237</v>
      </c>
      <c r="AD55" s="205"/>
      <c r="AE55" s="204"/>
      <c r="AF55" s="204"/>
      <c r="AG55" s="204"/>
      <c r="AH55" s="204"/>
      <c r="AI55" s="204"/>
      <c r="AJ55" s="204"/>
      <c r="AK55" s="204"/>
      <c r="AL55" s="204"/>
      <c r="AM55" s="204"/>
      <c r="AN55" s="204"/>
      <c r="AO55" s="204"/>
      <c r="AP55" s="204"/>
      <c r="AQ55" s="204"/>
      <c r="AR55" s="204"/>
      <c r="AS55" s="204"/>
      <c r="AT55" s="204"/>
      <c r="AU55" s="204"/>
      <c r="AV55" s="204"/>
      <c r="AW55" s="204"/>
      <c r="AX55" s="204"/>
      <c r="AY55" s="204"/>
      <c r="AZ55" s="204"/>
      <c r="BA55" s="204"/>
      <c r="BB55" s="204"/>
      <c r="BC55" s="204"/>
      <c r="BD55" s="204"/>
      <c r="BE55" s="204"/>
      <c r="BF55" s="204"/>
      <c r="BG55" s="204"/>
      <c r="BH55" s="204"/>
      <c r="BI55" s="204"/>
      <c r="BJ55" s="204"/>
      <c r="BK55" s="204"/>
      <c r="BL55" s="204"/>
      <c r="BM55" s="204"/>
      <c r="BN55" s="204"/>
      <c r="BO55" s="204"/>
      <c r="BP55" s="204"/>
      <c r="BQ55" s="204"/>
      <c r="BR55" s="204"/>
      <c r="BS55" s="204"/>
      <c r="BT55" s="204"/>
      <c r="BU55" s="204"/>
      <c r="BV55" s="204"/>
      <c r="BW55" s="204"/>
      <c r="BX55" s="204"/>
      <c r="BY55" s="204"/>
      <c r="BZ55" s="204"/>
      <c r="CA55" s="204"/>
      <c r="CB55" s="204"/>
      <c r="CC55" s="204"/>
      <c r="CD55" s="204"/>
      <c r="CE55" s="204"/>
      <c r="CF55" s="204"/>
      <c r="CG55" s="204"/>
      <c r="CH55" s="204"/>
      <c r="CI55" s="204"/>
      <c r="CJ55" s="204"/>
      <c r="CK55" s="204"/>
      <c r="CL55" s="204"/>
      <c r="CM55" s="204"/>
      <c r="CN55" s="204"/>
      <c r="CO55" s="204"/>
      <c r="CP55" s="204"/>
      <c r="CQ55" s="204"/>
      <c r="CR55" s="204"/>
      <c r="CS55" s="204"/>
      <c r="CT55" s="204"/>
      <c r="CU55" s="204"/>
      <c r="CV55" s="204"/>
      <c r="CW55" s="204"/>
      <c r="CX55" s="204"/>
      <c r="CY55" s="204"/>
      <c r="CZ55" s="204"/>
      <c r="DA55" s="204"/>
      <c r="DB55" s="204"/>
      <c r="DC55" s="204"/>
      <c r="DD55" s="204"/>
      <c r="DE55" s="204"/>
      <c r="DF55" s="204"/>
      <c r="DG55" s="204"/>
      <c r="DH55" s="204"/>
      <c r="DI55" s="204"/>
      <c r="DJ55" s="204"/>
      <c r="DK55" s="204"/>
      <c r="DL55" s="204"/>
      <c r="DM55" s="204"/>
      <c r="DN55" s="204"/>
      <c r="DO55" s="204"/>
      <c r="DP55" s="204"/>
      <c r="DQ55" s="204"/>
      <c r="DR55" s="204"/>
      <c r="DS55" s="204"/>
      <c r="DT55" s="204"/>
      <c r="DU55" s="204"/>
      <c r="DV55" s="204"/>
      <c r="DW55" s="204"/>
      <c r="DX55" s="204"/>
      <c r="DY55" s="194"/>
      <c r="DZ55" s="204"/>
      <c r="EA55" s="204"/>
      <c r="EB55" s="204"/>
      <c r="EC55" s="204"/>
      <c r="ED55" s="204"/>
      <c r="EE55" s="204"/>
      <c r="EF55" s="204"/>
      <c r="EG55" s="204"/>
      <c r="EH55" s="204"/>
      <c r="EI55" s="204"/>
      <c r="EJ55" s="204"/>
      <c r="EK55" s="204"/>
      <c r="EL55" s="204"/>
      <c r="EM55" s="204"/>
      <c r="EN55" s="204"/>
      <c r="EO55" s="204"/>
      <c r="EP55" s="204"/>
      <c r="EQ55" s="204"/>
      <c r="ER55" s="204"/>
      <c r="ES55" s="204"/>
      <c r="ET55" s="204"/>
      <c r="EU55" s="204"/>
      <c r="EV55" s="204"/>
      <c r="EW55" s="204"/>
      <c r="EX55" s="204"/>
      <c r="EY55" s="204"/>
      <c r="EZ55" s="204"/>
      <c r="FA55" s="204"/>
      <c r="FB55" s="204"/>
      <c r="FC55" s="204"/>
      <c r="FD55" s="204"/>
      <c r="FE55" s="204"/>
      <c r="FF55" s="204"/>
      <c r="FG55" s="204"/>
      <c r="FH55" s="204"/>
      <c r="FI55" s="204"/>
      <c r="FJ55" s="204"/>
      <c r="FK55" s="204"/>
      <c r="FL55" s="204"/>
      <c r="FM55" s="204"/>
      <c r="FN55" s="204"/>
      <c r="FO55" s="204"/>
      <c r="FP55" s="204"/>
      <c r="FQ55" s="204"/>
      <c r="FR55" s="204"/>
      <c r="FS55" s="204"/>
      <c r="FT55" s="204"/>
      <c r="FU55" s="204"/>
      <c r="FV55" s="204"/>
      <c r="FW55" s="204"/>
      <c r="FX55" s="204"/>
      <c r="FY55" s="204"/>
      <c r="FZ55" s="204"/>
      <c r="GA55" s="204"/>
      <c r="GB55" s="204"/>
      <c r="GC55" s="204"/>
      <c r="GD55" s="204"/>
      <c r="GE55" s="204"/>
      <c r="GF55" s="204"/>
      <c r="GG55" s="204"/>
      <c r="GH55" s="204"/>
      <c r="GI55" s="204"/>
      <c r="GJ55" s="204"/>
      <c r="GK55" s="204"/>
      <c r="GL55" s="204"/>
      <c r="GM55" s="204"/>
      <c r="GN55" s="204"/>
      <c r="GO55" s="204"/>
      <c r="GP55" s="204"/>
      <c r="GQ55" s="204"/>
      <c r="GR55" s="204"/>
      <c r="GS55" s="204"/>
      <c r="GT55" s="204"/>
      <c r="GU55" s="204"/>
      <c r="GV55" s="204"/>
      <c r="GW55" s="204"/>
      <c r="GX55" s="204"/>
      <c r="GY55" s="204"/>
      <c r="GZ55" s="204"/>
      <c r="HA55" s="204"/>
      <c r="HB55" s="204"/>
      <c r="HC55" s="204"/>
      <c r="HD55" s="204"/>
      <c r="HE55" s="204"/>
      <c r="HF55" s="204"/>
      <c r="HG55" s="204"/>
      <c r="HH55" s="204"/>
      <c r="HI55" s="204"/>
      <c r="HJ55" s="204"/>
      <c r="HK55" s="204"/>
      <c r="HL55" s="204"/>
      <c r="HM55" s="204"/>
      <c r="HN55" s="204"/>
      <c r="HO55" s="204"/>
      <c r="HP55" s="204"/>
      <c r="HQ55" s="204"/>
    </row>
    <row r="56" spans="1:225" ht="13.2">
      <c r="A56" s="168"/>
      <c r="B56" s="168"/>
      <c r="C56" s="168"/>
      <c r="D56" s="178"/>
      <c r="E56" s="169"/>
      <c r="F56" s="169"/>
      <c r="G56" s="169"/>
      <c r="H56" s="169"/>
      <c r="I56" s="211"/>
      <c r="J56" s="169" t="s">
        <v>1204</v>
      </c>
      <c r="K56" s="169"/>
      <c r="L56" s="169"/>
      <c r="M56" s="146">
        <v>43570</v>
      </c>
      <c r="N56" s="146">
        <v>43595</v>
      </c>
      <c r="O56" s="169"/>
      <c r="P56" s="170">
        <v>10</v>
      </c>
      <c r="Q56" s="170">
        <v>0</v>
      </c>
      <c r="R56" s="171"/>
      <c r="S56" s="171"/>
      <c r="T56" s="146"/>
      <c r="U56" s="146"/>
      <c r="V56" s="172"/>
      <c r="W56" s="173"/>
      <c r="X56" s="174">
        <v>1</v>
      </c>
      <c r="Y56" s="211" t="s">
        <v>1168</v>
      </c>
      <c r="Z56" s="222" t="s">
        <v>1232</v>
      </c>
      <c r="AA56" s="176"/>
      <c r="AB56" s="177"/>
      <c r="AC56" s="220" t="s">
        <v>1233</v>
      </c>
      <c r="AD56" s="205"/>
      <c r="AE56" s="204"/>
      <c r="AF56" s="204"/>
      <c r="AG56" s="204"/>
      <c r="AH56" s="204"/>
      <c r="AI56" s="204"/>
      <c r="AJ56" s="204"/>
      <c r="AK56" s="204"/>
      <c r="AL56" s="204"/>
      <c r="AM56" s="204"/>
      <c r="AN56" s="204"/>
      <c r="AO56" s="204"/>
      <c r="AP56" s="204"/>
      <c r="AQ56" s="204"/>
      <c r="AR56" s="204"/>
      <c r="AS56" s="204"/>
      <c r="AT56" s="204"/>
      <c r="AU56" s="204"/>
      <c r="AV56" s="204"/>
      <c r="AW56" s="204"/>
      <c r="AX56" s="204"/>
      <c r="AY56" s="204"/>
      <c r="AZ56" s="204"/>
      <c r="BA56" s="204"/>
      <c r="BB56" s="204"/>
      <c r="BC56" s="204"/>
      <c r="BD56" s="204"/>
      <c r="BE56" s="204"/>
      <c r="BF56" s="204"/>
      <c r="BG56" s="204"/>
      <c r="BH56" s="204"/>
      <c r="BI56" s="204"/>
      <c r="BJ56" s="204"/>
      <c r="BK56" s="204"/>
      <c r="BL56" s="204"/>
      <c r="BM56" s="204"/>
      <c r="BN56" s="204"/>
      <c r="BO56" s="204"/>
      <c r="BP56" s="204"/>
      <c r="BQ56" s="204"/>
      <c r="BR56" s="204"/>
      <c r="BS56" s="204"/>
      <c r="BT56" s="204"/>
      <c r="BU56" s="204"/>
      <c r="BV56" s="204"/>
      <c r="BW56" s="204"/>
      <c r="BX56" s="204"/>
      <c r="BY56" s="204"/>
      <c r="BZ56" s="204"/>
      <c r="CA56" s="204"/>
      <c r="CB56" s="204"/>
      <c r="CC56" s="204"/>
      <c r="CD56" s="204"/>
      <c r="CE56" s="204"/>
      <c r="CF56" s="204"/>
      <c r="CG56" s="204"/>
      <c r="CH56" s="204"/>
      <c r="CI56" s="204"/>
      <c r="CJ56" s="204"/>
      <c r="CK56" s="204"/>
      <c r="CL56" s="204"/>
      <c r="CM56" s="204"/>
      <c r="CN56" s="204"/>
      <c r="CO56" s="204"/>
      <c r="CP56" s="204"/>
      <c r="CQ56" s="204"/>
      <c r="CR56" s="204"/>
      <c r="CS56" s="204"/>
      <c r="CT56" s="204"/>
      <c r="CU56" s="204"/>
      <c r="CV56" s="204"/>
      <c r="CW56" s="204"/>
      <c r="CX56" s="204"/>
      <c r="CY56" s="204"/>
      <c r="CZ56" s="204"/>
      <c r="DA56" s="204"/>
      <c r="DB56" s="204"/>
      <c r="DC56" s="204"/>
      <c r="DD56" s="204"/>
      <c r="DE56" s="204"/>
      <c r="DF56" s="204"/>
      <c r="DG56" s="204"/>
      <c r="DH56" s="204"/>
      <c r="DI56" s="204"/>
      <c r="DJ56" s="204"/>
      <c r="DK56" s="204"/>
      <c r="DL56" s="204"/>
      <c r="DM56" s="204"/>
      <c r="DN56" s="204"/>
      <c r="DO56" s="204"/>
      <c r="DP56" s="204"/>
      <c r="DQ56" s="204"/>
      <c r="DR56" s="204"/>
      <c r="DS56" s="204"/>
      <c r="DT56" s="204"/>
      <c r="DU56" s="204"/>
      <c r="DV56" s="204"/>
      <c r="DW56" s="204"/>
      <c r="DX56" s="204"/>
      <c r="DY56" s="194"/>
      <c r="DZ56" s="204"/>
      <c r="EA56" s="204"/>
      <c r="EB56" s="204"/>
      <c r="EC56" s="204"/>
      <c r="ED56" s="204"/>
      <c r="EE56" s="204"/>
      <c r="EF56" s="204"/>
      <c r="EG56" s="204"/>
      <c r="EH56" s="204"/>
      <c r="EI56" s="204"/>
      <c r="EJ56" s="204"/>
      <c r="EK56" s="204"/>
      <c r="EL56" s="204"/>
      <c r="EM56" s="204"/>
      <c r="EN56" s="204"/>
      <c r="EO56" s="204"/>
      <c r="EP56" s="204"/>
      <c r="EQ56" s="204"/>
      <c r="ER56" s="204"/>
      <c r="ES56" s="204"/>
      <c r="ET56" s="204"/>
      <c r="EU56" s="204"/>
      <c r="EV56" s="204"/>
      <c r="EW56" s="204"/>
      <c r="EX56" s="204"/>
      <c r="EY56" s="204"/>
      <c r="EZ56" s="204"/>
      <c r="FA56" s="204"/>
      <c r="FB56" s="204"/>
      <c r="FC56" s="204"/>
      <c r="FD56" s="204"/>
      <c r="FE56" s="204"/>
      <c r="FF56" s="204"/>
      <c r="FG56" s="204"/>
      <c r="FH56" s="204"/>
      <c r="FI56" s="204"/>
      <c r="FJ56" s="204"/>
      <c r="FK56" s="204"/>
      <c r="FL56" s="204"/>
      <c r="FM56" s="204"/>
      <c r="FN56" s="204"/>
      <c r="FO56" s="204"/>
      <c r="FP56" s="204"/>
      <c r="FQ56" s="204"/>
      <c r="FR56" s="204"/>
      <c r="FS56" s="204"/>
      <c r="FT56" s="204"/>
      <c r="FU56" s="204"/>
      <c r="FV56" s="204"/>
      <c r="FW56" s="204"/>
      <c r="FX56" s="204"/>
      <c r="FY56" s="204"/>
      <c r="FZ56" s="204"/>
      <c r="GA56" s="204"/>
      <c r="GB56" s="204"/>
      <c r="GC56" s="204"/>
      <c r="GD56" s="204"/>
      <c r="GE56" s="204"/>
      <c r="GF56" s="204"/>
      <c r="GG56" s="204"/>
      <c r="GH56" s="204"/>
      <c r="GI56" s="204"/>
      <c r="GJ56" s="204"/>
      <c r="GK56" s="204"/>
      <c r="GL56" s="204"/>
      <c r="GM56" s="204"/>
      <c r="GN56" s="204"/>
      <c r="GO56" s="204"/>
      <c r="GP56" s="204"/>
      <c r="GQ56" s="204"/>
      <c r="GR56" s="204"/>
      <c r="GS56" s="204"/>
      <c r="GT56" s="204"/>
      <c r="GU56" s="204"/>
      <c r="GV56" s="204"/>
      <c r="GW56" s="204"/>
      <c r="GX56" s="204"/>
      <c r="GY56" s="204"/>
      <c r="GZ56" s="204"/>
      <c r="HA56" s="204"/>
      <c r="HB56" s="204"/>
      <c r="HC56" s="204"/>
      <c r="HD56" s="204"/>
      <c r="HE56" s="204"/>
      <c r="HF56" s="204"/>
      <c r="HG56" s="204"/>
      <c r="HH56" s="204"/>
      <c r="HI56" s="204"/>
      <c r="HJ56" s="204"/>
      <c r="HK56" s="204"/>
      <c r="HL56" s="204"/>
      <c r="HM56" s="204"/>
      <c r="HN56" s="204"/>
      <c r="HO56" s="204"/>
      <c r="HP56" s="204"/>
      <c r="HQ56" s="204"/>
    </row>
    <row r="57" spans="1:225" ht="13.2">
      <c r="A57" s="168"/>
      <c r="B57" s="168"/>
      <c r="C57" s="168">
        <v>5</v>
      </c>
      <c r="D57" s="178" t="s">
        <v>1051</v>
      </c>
      <c r="E57" s="169"/>
      <c r="F57" s="169"/>
      <c r="G57" s="169"/>
      <c r="H57" s="169"/>
      <c r="I57" s="210" t="s">
        <v>1186</v>
      </c>
      <c r="J57" s="169"/>
      <c r="K57" s="169"/>
      <c r="L57" s="169"/>
      <c r="M57" s="146">
        <v>43544</v>
      </c>
      <c r="N57" s="146">
        <v>43595</v>
      </c>
      <c r="O57" s="169"/>
      <c r="P57" s="170">
        <v>34</v>
      </c>
      <c r="Q57" s="170">
        <v>0</v>
      </c>
      <c r="R57" s="171" t="e">
        <f ca="1">IF(M57="","0",(N57-M57+1)-COUNTIFS(INDIRECT(getCalendarRange(O57)),"&gt;=" &amp; M57,INDIRECT(getCalendarRange(O57)),"&lt;=" &amp; N57))</f>
        <v>#NAME?</v>
      </c>
      <c r="S57" s="171">
        <f ca="1">IF(M57&gt;TODAY(),0,IF(N57&lt;TODAY(),R57,(TODAY()-M57+1)-COUNTIFS(INDIRECT(getCalendarRange(O57)),"&gt;=" &amp; M57,INDIRECT(getCalendarRange(O57)),"&lt;=" &amp; TODAY())))</f>
        <v>0</v>
      </c>
      <c r="T57" s="146"/>
      <c r="U57" s="146"/>
      <c r="V57" s="172"/>
      <c r="W57" s="173" t="str">
        <f ca="1">IF(U57="","0",IF(T57="","0",(U57-T57+1)-COUNTIFS(INDIRECT(getCalendarRange(O57)),"&gt;=" &amp; T57,INDIRECT(getCalendarRange(O57)),"&lt;=" &amp; U57)))</f>
        <v>0</v>
      </c>
      <c r="X57" s="174">
        <v>1</v>
      </c>
      <c r="Y57" s="211" t="s">
        <v>1172</v>
      </c>
      <c r="Z57" s="175"/>
      <c r="AA57" s="176">
        <v>0</v>
      </c>
      <c r="AB57" s="177">
        <v>0</v>
      </c>
      <c r="AD57" s="205"/>
      <c r="AE57" s="204"/>
      <c r="AF57" s="204"/>
      <c r="AG57" s="204"/>
      <c r="AH57" s="204"/>
      <c r="AI57" s="204"/>
      <c r="AJ57" s="204"/>
      <c r="AK57" s="204"/>
      <c r="AL57" s="204"/>
      <c r="AM57" s="204"/>
      <c r="AN57" s="204"/>
      <c r="AO57" s="204"/>
      <c r="AP57" s="204"/>
      <c r="AQ57" s="204"/>
      <c r="AR57" s="204"/>
      <c r="AS57" s="204"/>
      <c r="AT57" s="204"/>
      <c r="AU57" s="204"/>
      <c r="AV57" s="204"/>
      <c r="AW57" s="204"/>
      <c r="AX57" s="204"/>
      <c r="AY57" s="204"/>
      <c r="AZ57" s="204"/>
      <c r="BA57" s="204"/>
      <c r="BB57" s="204"/>
      <c r="BC57" s="204"/>
      <c r="BD57" s="204"/>
      <c r="BE57" s="204"/>
      <c r="BF57" s="204"/>
      <c r="BG57" s="204"/>
      <c r="BH57" s="204"/>
      <c r="BI57" s="204"/>
      <c r="BJ57" s="204"/>
      <c r="BK57" s="204"/>
      <c r="BL57" s="204"/>
      <c r="BM57" s="204"/>
      <c r="BN57" s="204"/>
      <c r="BO57" s="204"/>
      <c r="BP57" s="204"/>
      <c r="BQ57" s="204"/>
      <c r="BR57" s="204"/>
      <c r="BS57" s="204"/>
      <c r="BT57" s="204"/>
      <c r="BU57" s="204"/>
      <c r="BV57" s="204"/>
      <c r="BW57" s="204"/>
      <c r="BX57" s="204"/>
      <c r="BY57" s="204"/>
      <c r="BZ57" s="204"/>
      <c r="CA57" s="204"/>
      <c r="CB57" s="204"/>
      <c r="CC57" s="204"/>
      <c r="CD57" s="204"/>
      <c r="CE57" s="204"/>
      <c r="CF57" s="204"/>
      <c r="CG57" s="204"/>
      <c r="CH57" s="204"/>
      <c r="CI57" s="204"/>
      <c r="CJ57" s="204"/>
      <c r="CK57" s="204"/>
      <c r="CL57" s="204"/>
      <c r="CM57" s="204"/>
      <c r="CN57" s="204"/>
      <c r="CO57" s="204"/>
      <c r="CP57" s="204"/>
      <c r="CQ57" s="204"/>
      <c r="CR57" s="204"/>
      <c r="CS57" s="204"/>
      <c r="CT57" s="204"/>
      <c r="CU57" s="204"/>
      <c r="CV57" s="204"/>
      <c r="CW57" s="204"/>
      <c r="CX57" s="204"/>
      <c r="CY57" s="204"/>
      <c r="CZ57" s="204"/>
      <c r="DA57" s="204"/>
      <c r="DB57" s="204"/>
      <c r="DC57" s="204"/>
      <c r="DD57" s="204"/>
      <c r="DE57" s="204"/>
      <c r="DF57" s="204"/>
      <c r="DG57" s="204"/>
      <c r="DH57" s="204"/>
      <c r="DI57" s="204"/>
      <c r="DJ57" s="204"/>
      <c r="DK57" s="204"/>
      <c r="DL57" s="204"/>
      <c r="DM57" s="204"/>
      <c r="DN57" s="204"/>
      <c r="DO57" s="204"/>
      <c r="DP57" s="204"/>
      <c r="DQ57" s="204"/>
      <c r="DR57" s="204"/>
      <c r="DS57" s="204"/>
      <c r="DT57" s="204"/>
      <c r="DU57" s="204"/>
      <c r="DV57" s="204"/>
      <c r="DW57" s="204"/>
      <c r="DX57" s="204"/>
      <c r="DY57" s="204"/>
      <c r="DZ57" s="204"/>
      <c r="EA57" s="204"/>
      <c r="EB57" s="204"/>
      <c r="EC57" s="204"/>
      <c r="ED57" s="204"/>
      <c r="EE57" s="204"/>
      <c r="EF57" s="204"/>
      <c r="EG57" s="204"/>
      <c r="EH57" s="204"/>
      <c r="EI57" s="204"/>
      <c r="EJ57" s="204"/>
      <c r="EK57" s="204"/>
      <c r="EL57" s="204" t="str">
        <f>I57 &amp; " " &amp; IF(M57="","",TEXT(M57,"M/D-")) &amp; IF(N57="","",TEXT(N57,"M/D")) &amp; " "</f>
        <v xml:space="preserve">백엔드 3/20-5/10 </v>
      </c>
      <c r="EM57" s="194" t="str">
        <f>TEXT(AB57,"#0.00%") &amp; " "</f>
        <v xml:space="preserve">0.00% </v>
      </c>
      <c r="EN57" s="204"/>
      <c r="EO57" s="204"/>
      <c r="EP57" s="204"/>
      <c r="EQ57" s="204"/>
      <c r="ER57" s="204"/>
      <c r="ES57" s="204"/>
      <c r="ET57" s="204"/>
      <c r="EU57" s="204"/>
      <c r="EV57" s="204"/>
      <c r="EW57" s="204"/>
      <c r="EX57" s="204"/>
      <c r="EY57" s="204"/>
      <c r="EZ57" s="204"/>
      <c r="FA57" s="204"/>
      <c r="FB57" s="204"/>
      <c r="FC57" s="204"/>
      <c r="FD57" s="204"/>
      <c r="FE57" s="204"/>
      <c r="FF57" s="204"/>
      <c r="FG57" s="204"/>
      <c r="FH57" s="204"/>
      <c r="FI57" s="204"/>
      <c r="FJ57" s="204"/>
      <c r="FK57" s="204"/>
      <c r="FL57" s="204"/>
      <c r="FM57" s="204"/>
      <c r="FN57" s="204"/>
      <c r="FO57" s="204"/>
      <c r="FP57" s="204"/>
      <c r="FQ57" s="204"/>
      <c r="FR57" s="204"/>
      <c r="FS57" s="204"/>
      <c r="FT57" s="204"/>
      <c r="FU57" s="204"/>
      <c r="FV57" s="204"/>
      <c r="FW57" s="204"/>
      <c r="FX57" s="204"/>
      <c r="FY57" s="204"/>
      <c r="FZ57" s="204"/>
      <c r="GA57" s="204"/>
      <c r="GB57" s="204"/>
      <c r="GC57" s="204"/>
      <c r="GD57" s="204"/>
      <c r="GE57" s="204"/>
      <c r="GF57" s="204"/>
      <c r="GG57" s="204"/>
      <c r="GH57" s="204"/>
      <c r="GI57" s="204"/>
      <c r="GJ57" s="204"/>
      <c r="GK57" s="204"/>
      <c r="GL57" s="204"/>
      <c r="GM57" s="204"/>
      <c r="GN57" s="204"/>
      <c r="GO57" s="204"/>
      <c r="GP57" s="204"/>
      <c r="GQ57" s="204"/>
      <c r="GR57" s="204"/>
      <c r="GS57" s="204"/>
      <c r="GT57" s="204"/>
      <c r="GU57" s="204"/>
      <c r="GV57" s="204"/>
      <c r="GW57" s="204"/>
      <c r="GX57" s="204"/>
      <c r="GY57" s="204"/>
      <c r="GZ57" s="204"/>
      <c r="HA57" s="204"/>
      <c r="HB57" s="204"/>
      <c r="HC57" s="204"/>
      <c r="HD57" s="204"/>
      <c r="HE57" s="204"/>
      <c r="HF57" s="204"/>
      <c r="HG57" s="204"/>
      <c r="HH57" s="204"/>
      <c r="HI57" s="204"/>
      <c r="HJ57" s="204"/>
      <c r="HK57" s="204"/>
      <c r="HL57" s="204"/>
      <c r="HM57" s="204"/>
      <c r="HN57" s="204"/>
      <c r="HO57" s="204"/>
      <c r="HP57" s="204"/>
      <c r="HQ57" s="204"/>
    </row>
    <row r="58" spans="1:225" ht="13.2">
      <c r="A58" s="168"/>
      <c r="B58" s="168"/>
      <c r="C58" s="168"/>
      <c r="D58" s="178"/>
      <c r="E58" s="169"/>
      <c r="F58" s="169"/>
      <c r="G58" s="169"/>
      <c r="H58" s="169"/>
      <c r="I58" s="210"/>
      <c r="J58" s="210" t="s">
        <v>1202</v>
      </c>
      <c r="K58" s="169"/>
      <c r="L58" s="169"/>
      <c r="M58" s="146">
        <v>43544</v>
      </c>
      <c r="N58" s="146">
        <v>43546</v>
      </c>
      <c r="O58" s="169"/>
      <c r="P58" s="170">
        <v>7</v>
      </c>
      <c r="Q58" s="170">
        <v>0</v>
      </c>
      <c r="R58" s="171"/>
      <c r="S58" s="171"/>
      <c r="T58" s="146"/>
      <c r="U58" s="146"/>
      <c r="V58" s="172"/>
      <c r="W58" s="173"/>
      <c r="X58" s="174">
        <v>1</v>
      </c>
      <c r="Y58" s="211" t="s">
        <v>1172</v>
      </c>
      <c r="Z58" s="175"/>
      <c r="AA58" s="176"/>
      <c r="AB58" s="177"/>
      <c r="AC58" s="220" t="s">
        <v>1245</v>
      </c>
      <c r="AD58" s="205"/>
      <c r="AE58" s="204"/>
      <c r="AF58" s="204"/>
      <c r="AG58" s="204"/>
      <c r="AH58" s="204"/>
      <c r="AI58" s="204"/>
      <c r="AJ58" s="204"/>
      <c r="AK58" s="204"/>
      <c r="AL58" s="204"/>
      <c r="AM58" s="204"/>
      <c r="AN58" s="204"/>
      <c r="AO58" s="204"/>
      <c r="AP58" s="204"/>
      <c r="AQ58" s="204"/>
      <c r="AR58" s="204"/>
      <c r="AS58" s="204"/>
      <c r="AT58" s="204"/>
      <c r="AU58" s="204"/>
      <c r="AV58" s="204"/>
      <c r="AW58" s="204"/>
      <c r="AX58" s="204"/>
      <c r="AY58" s="204"/>
      <c r="AZ58" s="204"/>
      <c r="BA58" s="204"/>
      <c r="BB58" s="204"/>
      <c r="BC58" s="204"/>
      <c r="BD58" s="204"/>
      <c r="BE58" s="204"/>
      <c r="BF58" s="204"/>
      <c r="BG58" s="204"/>
      <c r="BH58" s="204"/>
      <c r="BI58" s="204"/>
      <c r="BJ58" s="204"/>
      <c r="BK58" s="204"/>
      <c r="BL58" s="204"/>
      <c r="BM58" s="204"/>
      <c r="BN58" s="204"/>
      <c r="BO58" s="204"/>
      <c r="BP58" s="204"/>
      <c r="BQ58" s="204"/>
      <c r="BR58" s="204"/>
      <c r="BS58" s="204"/>
      <c r="BT58" s="204"/>
      <c r="BU58" s="204"/>
      <c r="BV58" s="204"/>
      <c r="BW58" s="204"/>
      <c r="BX58" s="204"/>
      <c r="BY58" s="204"/>
      <c r="BZ58" s="204"/>
      <c r="CA58" s="204"/>
      <c r="CB58" s="204"/>
      <c r="CC58" s="204"/>
      <c r="CD58" s="204"/>
      <c r="CE58" s="204"/>
      <c r="CF58" s="204"/>
      <c r="CG58" s="204"/>
      <c r="CH58" s="204"/>
      <c r="CI58" s="204"/>
      <c r="CJ58" s="204"/>
      <c r="CK58" s="204"/>
      <c r="CL58" s="204"/>
      <c r="CM58" s="204"/>
      <c r="CN58" s="204"/>
      <c r="CO58" s="204"/>
      <c r="CP58" s="204"/>
      <c r="CQ58" s="204"/>
      <c r="CR58" s="204"/>
      <c r="CS58" s="204"/>
      <c r="CT58" s="204"/>
      <c r="CU58" s="204"/>
      <c r="CV58" s="204"/>
      <c r="CW58" s="204"/>
      <c r="CX58" s="204"/>
      <c r="CY58" s="204"/>
      <c r="CZ58" s="204"/>
      <c r="DA58" s="204"/>
      <c r="DB58" s="204"/>
      <c r="DC58" s="204"/>
      <c r="DD58" s="204"/>
      <c r="DE58" s="204"/>
      <c r="DF58" s="204"/>
      <c r="DG58" s="204"/>
      <c r="DH58" s="204"/>
      <c r="DI58" s="204"/>
      <c r="DJ58" s="204"/>
      <c r="DK58" s="204"/>
      <c r="DL58" s="204"/>
      <c r="DM58" s="204"/>
      <c r="DN58" s="204"/>
      <c r="DO58" s="204"/>
      <c r="DP58" s="204"/>
      <c r="DQ58" s="204"/>
      <c r="DR58" s="204"/>
      <c r="DS58" s="204"/>
      <c r="DT58" s="204"/>
      <c r="DU58" s="204"/>
      <c r="DV58" s="204"/>
      <c r="DW58" s="204"/>
      <c r="DX58" s="204"/>
      <c r="DY58" s="204"/>
      <c r="DZ58" s="204"/>
      <c r="EA58" s="204"/>
      <c r="EB58" s="204"/>
      <c r="EC58" s="204"/>
      <c r="ED58" s="204"/>
      <c r="EE58" s="204"/>
      <c r="EF58" s="204"/>
      <c r="EG58" s="204"/>
      <c r="EH58" s="204"/>
      <c r="EI58" s="204"/>
      <c r="EJ58" s="204"/>
      <c r="EK58" s="204"/>
      <c r="EL58" s="204"/>
      <c r="EM58" s="194"/>
      <c r="EN58" s="204"/>
      <c r="EO58" s="204"/>
      <c r="EP58" s="204"/>
      <c r="EQ58" s="204"/>
      <c r="ER58" s="204"/>
      <c r="ES58" s="204"/>
      <c r="ET58" s="204"/>
      <c r="EU58" s="204"/>
      <c r="EV58" s="204"/>
      <c r="EW58" s="204"/>
      <c r="EX58" s="204"/>
      <c r="EY58" s="204"/>
      <c r="EZ58" s="204"/>
      <c r="FA58" s="204"/>
      <c r="FB58" s="204"/>
      <c r="FC58" s="204"/>
      <c r="FD58" s="204"/>
      <c r="FE58" s="204"/>
      <c r="FF58" s="204"/>
      <c r="FG58" s="204"/>
      <c r="FH58" s="204"/>
      <c r="FI58" s="204"/>
      <c r="FJ58" s="204"/>
      <c r="FK58" s="204"/>
      <c r="FL58" s="204"/>
      <c r="FM58" s="204"/>
      <c r="FN58" s="204"/>
      <c r="FO58" s="204"/>
      <c r="FP58" s="204"/>
      <c r="FQ58" s="204"/>
      <c r="FR58" s="204"/>
      <c r="FS58" s="204"/>
      <c r="FT58" s="204"/>
      <c r="FU58" s="204"/>
      <c r="FV58" s="204"/>
      <c r="FW58" s="204"/>
      <c r="FX58" s="204"/>
      <c r="FY58" s="204"/>
      <c r="FZ58" s="204"/>
      <c r="GA58" s="204"/>
      <c r="GB58" s="204"/>
      <c r="GC58" s="204"/>
      <c r="GD58" s="204"/>
      <c r="GE58" s="204"/>
      <c r="GF58" s="204"/>
      <c r="GG58" s="204"/>
      <c r="GH58" s="204"/>
      <c r="GI58" s="204"/>
      <c r="GJ58" s="204"/>
      <c r="GK58" s="204"/>
      <c r="GL58" s="204"/>
      <c r="GM58" s="204"/>
      <c r="GN58" s="204"/>
      <c r="GO58" s="204"/>
      <c r="GP58" s="204"/>
      <c r="GQ58" s="204"/>
      <c r="GR58" s="204"/>
      <c r="GS58" s="204"/>
      <c r="GT58" s="204"/>
      <c r="GU58" s="204"/>
      <c r="GV58" s="204"/>
      <c r="GW58" s="204"/>
      <c r="GX58" s="204"/>
      <c r="GY58" s="204"/>
      <c r="GZ58" s="204"/>
      <c r="HA58" s="204"/>
      <c r="HB58" s="204"/>
      <c r="HC58" s="204"/>
      <c r="HD58" s="204"/>
      <c r="HE58" s="204"/>
      <c r="HF58" s="204"/>
      <c r="HG58" s="204"/>
      <c r="HH58" s="204"/>
      <c r="HI58" s="204"/>
      <c r="HJ58" s="204"/>
      <c r="HK58" s="204"/>
      <c r="HL58" s="204"/>
      <c r="HM58" s="204"/>
      <c r="HN58" s="204"/>
      <c r="HO58" s="204"/>
      <c r="HP58" s="204"/>
      <c r="HQ58" s="204"/>
    </row>
    <row r="59" spans="1:225" ht="13.2">
      <c r="A59" s="168"/>
      <c r="B59" s="168"/>
      <c r="C59" s="168"/>
      <c r="D59" s="178"/>
      <c r="E59" s="169"/>
      <c r="F59" s="169"/>
      <c r="G59" s="169"/>
      <c r="H59" s="169"/>
      <c r="I59" s="210"/>
      <c r="J59" s="210" t="s">
        <v>1213</v>
      </c>
      <c r="K59" s="169"/>
      <c r="L59" s="169"/>
      <c r="M59" s="146">
        <v>43546</v>
      </c>
      <c r="N59" s="146">
        <v>43556</v>
      </c>
      <c r="O59" s="169"/>
      <c r="P59" s="170">
        <v>7</v>
      </c>
      <c r="Q59" s="170">
        <v>0</v>
      </c>
      <c r="R59" s="171"/>
      <c r="S59" s="171"/>
      <c r="T59" s="146"/>
      <c r="U59" s="146"/>
      <c r="V59" s="172"/>
      <c r="W59" s="173"/>
      <c r="X59" s="174">
        <v>1</v>
      </c>
      <c r="Y59" s="211" t="s">
        <v>1172</v>
      </c>
      <c r="Z59" s="175"/>
      <c r="AA59" s="176"/>
      <c r="AB59" s="177"/>
      <c r="AC59" s="220" t="s">
        <v>1244</v>
      </c>
      <c r="AD59" s="205"/>
      <c r="AE59" s="204"/>
      <c r="AF59" s="204"/>
      <c r="AG59" s="204"/>
      <c r="AH59" s="204"/>
      <c r="AI59" s="204"/>
      <c r="AJ59" s="204"/>
      <c r="AK59" s="204"/>
      <c r="AL59" s="204"/>
      <c r="AM59" s="204"/>
      <c r="AN59" s="204"/>
      <c r="AO59" s="204"/>
      <c r="AP59" s="204"/>
      <c r="AQ59" s="204"/>
      <c r="AR59" s="204"/>
      <c r="AS59" s="204"/>
      <c r="AT59" s="204"/>
      <c r="AU59" s="204"/>
      <c r="AV59" s="204"/>
      <c r="AW59" s="204"/>
      <c r="AX59" s="204"/>
      <c r="AY59" s="204"/>
      <c r="AZ59" s="204"/>
      <c r="BA59" s="204"/>
      <c r="BB59" s="204"/>
      <c r="BC59" s="204"/>
      <c r="BD59" s="204"/>
      <c r="BE59" s="204"/>
      <c r="BF59" s="204"/>
      <c r="BG59" s="204"/>
      <c r="BH59" s="204"/>
      <c r="BI59" s="204"/>
      <c r="BJ59" s="204"/>
      <c r="BK59" s="204"/>
      <c r="BL59" s="204"/>
      <c r="BM59" s="204"/>
      <c r="BN59" s="204"/>
      <c r="BO59" s="204"/>
      <c r="BP59" s="204"/>
      <c r="BQ59" s="204"/>
      <c r="BR59" s="204"/>
      <c r="BS59" s="204"/>
      <c r="BT59" s="204"/>
      <c r="BU59" s="204"/>
      <c r="BV59" s="204"/>
      <c r="BW59" s="204"/>
      <c r="BX59" s="204"/>
      <c r="BY59" s="204"/>
      <c r="BZ59" s="204"/>
      <c r="CA59" s="204"/>
      <c r="CB59" s="204"/>
      <c r="CC59" s="204"/>
      <c r="CD59" s="204"/>
      <c r="CE59" s="204"/>
      <c r="CF59" s="204"/>
      <c r="CG59" s="204"/>
      <c r="CH59" s="204"/>
      <c r="CI59" s="204"/>
      <c r="CJ59" s="204"/>
      <c r="CK59" s="204"/>
      <c r="CL59" s="204"/>
      <c r="CM59" s="204"/>
      <c r="CN59" s="204"/>
      <c r="CO59" s="204"/>
      <c r="CP59" s="204"/>
      <c r="CQ59" s="204"/>
      <c r="CR59" s="204"/>
      <c r="CS59" s="204"/>
      <c r="CT59" s="204"/>
      <c r="CU59" s="204"/>
      <c r="CV59" s="204"/>
      <c r="CW59" s="204"/>
      <c r="CX59" s="204"/>
      <c r="CY59" s="204"/>
      <c r="CZ59" s="204"/>
      <c r="DA59" s="204"/>
      <c r="DB59" s="204"/>
      <c r="DC59" s="204"/>
      <c r="DD59" s="204"/>
      <c r="DE59" s="204"/>
      <c r="DF59" s="204"/>
      <c r="DG59" s="204"/>
      <c r="DH59" s="204"/>
      <c r="DI59" s="204"/>
      <c r="DJ59" s="204"/>
      <c r="DK59" s="204"/>
      <c r="DL59" s="204"/>
      <c r="DM59" s="204"/>
      <c r="DN59" s="204"/>
      <c r="DO59" s="204"/>
      <c r="DP59" s="204"/>
      <c r="DQ59" s="204"/>
      <c r="DR59" s="204"/>
      <c r="DS59" s="204"/>
      <c r="DT59" s="204"/>
      <c r="DU59" s="204"/>
      <c r="DV59" s="204"/>
      <c r="DW59" s="204"/>
      <c r="DX59" s="204"/>
      <c r="DY59" s="204"/>
      <c r="DZ59" s="204"/>
      <c r="EA59" s="204"/>
      <c r="EB59" s="204"/>
      <c r="EC59" s="204"/>
      <c r="ED59" s="204"/>
      <c r="EE59" s="204"/>
      <c r="EF59" s="204"/>
      <c r="EG59" s="204"/>
      <c r="EH59" s="204"/>
      <c r="EI59" s="204"/>
      <c r="EJ59" s="204"/>
      <c r="EK59" s="204"/>
      <c r="EL59" s="204"/>
      <c r="EM59" s="194"/>
      <c r="EN59" s="204"/>
      <c r="EO59" s="204"/>
      <c r="EP59" s="204"/>
      <c r="EQ59" s="204"/>
      <c r="ER59" s="204"/>
      <c r="ES59" s="204"/>
      <c r="ET59" s="204"/>
      <c r="EU59" s="204"/>
      <c r="EV59" s="204"/>
      <c r="EW59" s="204"/>
      <c r="EX59" s="204"/>
      <c r="EY59" s="204"/>
      <c r="EZ59" s="204"/>
      <c r="FA59" s="204"/>
      <c r="FB59" s="204"/>
      <c r="FC59" s="204"/>
      <c r="FD59" s="204"/>
      <c r="FE59" s="204"/>
      <c r="FF59" s="204"/>
      <c r="FG59" s="204"/>
      <c r="FH59" s="204"/>
      <c r="FI59" s="204"/>
      <c r="FJ59" s="204"/>
      <c r="FK59" s="204"/>
      <c r="FL59" s="204"/>
      <c r="FM59" s="204"/>
      <c r="FN59" s="204"/>
      <c r="FO59" s="204"/>
      <c r="FP59" s="204"/>
      <c r="FQ59" s="204"/>
      <c r="FR59" s="204"/>
      <c r="FS59" s="204"/>
      <c r="FT59" s="204"/>
      <c r="FU59" s="204"/>
      <c r="FV59" s="204"/>
      <c r="FW59" s="204"/>
      <c r="FX59" s="204"/>
      <c r="FY59" s="204"/>
      <c r="FZ59" s="204"/>
      <c r="GA59" s="204"/>
      <c r="GB59" s="204"/>
      <c r="GC59" s="204"/>
      <c r="GD59" s="204"/>
      <c r="GE59" s="204"/>
      <c r="GF59" s="204"/>
      <c r="GG59" s="204"/>
      <c r="GH59" s="204"/>
      <c r="GI59" s="204"/>
      <c r="GJ59" s="204"/>
      <c r="GK59" s="204"/>
      <c r="GL59" s="204"/>
      <c r="GM59" s="204"/>
      <c r="GN59" s="204"/>
      <c r="GO59" s="204"/>
      <c r="GP59" s="204"/>
      <c r="GQ59" s="204"/>
      <c r="GR59" s="204"/>
      <c r="GS59" s="204"/>
      <c r="GT59" s="204"/>
      <c r="GU59" s="204"/>
      <c r="GV59" s="204"/>
      <c r="GW59" s="204"/>
      <c r="GX59" s="204"/>
      <c r="GY59" s="204"/>
      <c r="GZ59" s="204"/>
      <c r="HA59" s="204"/>
      <c r="HB59" s="204"/>
      <c r="HC59" s="204"/>
      <c r="HD59" s="204"/>
      <c r="HE59" s="204"/>
      <c r="HF59" s="204"/>
      <c r="HG59" s="204"/>
      <c r="HH59" s="204"/>
      <c r="HI59" s="204"/>
      <c r="HJ59" s="204"/>
      <c r="HK59" s="204"/>
      <c r="HL59" s="204"/>
      <c r="HM59" s="204"/>
      <c r="HN59" s="204"/>
      <c r="HO59" s="204"/>
      <c r="HP59" s="204"/>
      <c r="HQ59" s="204"/>
    </row>
    <row r="60" spans="1:225" ht="13.2">
      <c r="A60" s="168"/>
      <c r="B60" s="168"/>
      <c r="C60" s="168"/>
      <c r="D60" s="178"/>
      <c r="E60" s="169"/>
      <c r="F60" s="169"/>
      <c r="G60" s="169"/>
      <c r="H60" s="169"/>
      <c r="I60" s="210"/>
      <c r="J60" s="210" t="s">
        <v>1212</v>
      </c>
      <c r="K60" s="169"/>
      <c r="L60" s="169"/>
      <c r="M60" s="146">
        <v>43556</v>
      </c>
      <c r="N60" s="146">
        <v>43570</v>
      </c>
      <c r="O60" s="169"/>
      <c r="P60" s="170">
        <v>10</v>
      </c>
      <c r="Q60" s="170">
        <v>0</v>
      </c>
      <c r="R60" s="171"/>
      <c r="S60" s="171"/>
      <c r="T60" s="146"/>
      <c r="U60" s="146"/>
      <c r="V60" s="172"/>
      <c r="W60" s="173"/>
      <c r="X60" s="174">
        <v>1</v>
      </c>
      <c r="Y60" s="211" t="s">
        <v>1172</v>
      </c>
      <c r="Z60" s="175"/>
      <c r="AA60" s="176"/>
      <c r="AB60" s="177"/>
      <c r="AC60" s="220" t="s">
        <v>1246</v>
      </c>
      <c r="AD60" s="205"/>
      <c r="AE60" s="204"/>
      <c r="AF60" s="204"/>
      <c r="AG60" s="204"/>
      <c r="AH60" s="204"/>
      <c r="AI60" s="204"/>
      <c r="AJ60" s="204"/>
      <c r="AK60" s="204"/>
      <c r="AL60" s="204"/>
      <c r="AM60" s="204"/>
      <c r="AN60" s="204"/>
      <c r="AO60" s="204"/>
      <c r="AP60" s="204"/>
      <c r="AQ60" s="204"/>
      <c r="AR60" s="204"/>
      <c r="AS60" s="204"/>
      <c r="AT60" s="204"/>
      <c r="AU60" s="204"/>
      <c r="AV60" s="204"/>
      <c r="AW60" s="204"/>
      <c r="AX60" s="204"/>
      <c r="AY60" s="204"/>
      <c r="AZ60" s="204"/>
      <c r="BA60" s="204"/>
      <c r="BB60" s="204"/>
      <c r="BC60" s="204"/>
      <c r="BD60" s="204"/>
      <c r="BE60" s="204"/>
      <c r="BF60" s="204"/>
      <c r="BG60" s="204"/>
      <c r="BH60" s="204"/>
      <c r="BI60" s="204"/>
      <c r="BJ60" s="204"/>
      <c r="BK60" s="204"/>
      <c r="BL60" s="204"/>
      <c r="BM60" s="204"/>
      <c r="BN60" s="204"/>
      <c r="BO60" s="204"/>
      <c r="BP60" s="204"/>
      <c r="BQ60" s="204"/>
      <c r="BR60" s="204"/>
      <c r="BS60" s="204"/>
      <c r="BT60" s="204"/>
      <c r="BU60" s="204"/>
      <c r="BV60" s="204"/>
      <c r="BW60" s="204"/>
      <c r="BX60" s="204"/>
      <c r="BY60" s="204"/>
      <c r="BZ60" s="204"/>
      <c r="CA60" s="204"/>
      <c r="CB60" s="204"/>
      <c r="CC60" s="204"/>
      <c r="CD60" s="204"/>
      <c r="CE60" s="204"/>
      <c r="CF60" s="204"/>
      <c r="CG60" s="204"/>
      <c r="CH60" s="204"/>
      <c r="CI60" s="204"/>
      <c r="CJ60" s="204"/>
      <c r="CK60" s="204"/>
      <c r="CL60" s="204"/>
      <c r="CM60" s="204"/>
      <c r="CN60" s="204"/>
      <c r="CO60" s="204"/>
      <c r="CP60" s="204"/>
      <c r="CQ60" s="204"/>
      <c r="CR60" s="204"/>
      <c r="CS60" s="204"/>
      <c r="CT60" s="204"/>
      <c r="CU60" s="204"/>
      <c r="CV60" s="204"/>
      <c r="CW60" s="204"/>
      <c r="CX60" s="204"/>
      <c r="CY60" s="204"/>
      <c r="CZ60" s="204"/>
      <c r="DA60" s="204"/>
      <c r="DB60" s="204"/>
      <c r="DC60" s="204"/>
      <c r="DD60" s="204"/>
      <c r="DE60" s="204"/>
      <c r="DF60" s="204"/>
      <c r="DG60" s="204"/>
      <c r="DH60" s="204"/>
      <c r="DI60" s="204"/>
      <c r="DJ60" s="204"/>
      <c r="DK60" s="204"/>
      <c r="DL60" s="204"/>
      <c r="DM60" s="204"/>
      <c r="DN60" s="204"/>
      <c r="DO60" s="204"/>
      <c r="DP60" s="204"/>
      <c r="DQ60" s="204"/>
      <c r="DR60" s="204"/>
      <c r="DS60" s="204"/>
      <c r="DT60" s="204"/>
      <c r="DU60" s="204"/>
      <c r="DV60" s="204"/>
      <c r="DW60" s="204"/>
      <c r="DX60" s="204"/>
      <c r="DY60" s="204"/>
      <c r="DZ60" s="204"/>
      <c r="EA60" s="204"/>
      <c r="EB60" s="204"/>
      <c r="EC60" s="204"/>
      <c r="ED60" s="204"/>
      <c r="EE60" s="204"/>
      <c r="EF60" s="204"/>
      <c r="EG60" s="204"/>
      <c r="EH60" s="204"/>
      <c r="EI60" s="204"/>
      <c r="EJ60" s="204"/>
      <c r="EK60" s="204"/>
      <c r="EL60" s="204"/>
      <c r="EM60" s="194"/>
      <c r="EN60" s="204"/>
      <c r="EO60" s="204"/>
      <c r="EP60" s="204"/>
      <c r="EQ60" s="204"/>
      <c r="ER60" s="204"/>
      <c r="ES60" s="204"/>
      <c r="ET60" s="204"/>
      <c r="EU60" s="204"/>
      <c r="EV60" s="204"/>
      <c r="EW60" s="204"/>
      <c r="EX60" s="204"/>
      <c r="EY60" s="204"/>
      <c r="EZ60" s="204"/>
      <c r="FA60" s="204"/>
      <c r="FB60" s="204"/>
      <c r="FC60" s="204"/>
      <c r="FD60" s="204"/>
      <c r="FE60" s="204"/>
      <c r="FF60" s="204"/>
      <c r="FG60" s="204"/>
      <c r="FH60" s="204"/>
      <c r="FI60" s="204"/>
      <c r="FJ60" s="204"/>
      <c r="FK60" s="204"/>
      <c r="FL60" s="204"/>
      <c r="FM60" s="204"/>
      <c r="FN60" s="204"/>
      <c r="FO60" s="204"/>
      <c r="FP60" s="204"/>
      <c r="FQ60" s="204"/>
      <c r="FR60" s="204"/>
      <c r="FS60" s="204"/>
      <c r="FT60" s="204"/>
      <c r="FU60" s="204"/>
      <c r="FV60" s="204"/>
      <c r="FW60" s="204"/>
      <c r="FX60" s="204"/>
      <c r="FY60" s="204"/>
      <c r="FZ60" s="204"/>
      <c r="GA60" s="204"/>
      <c r="GB60" s="204"/>
      <c r="GC60" s="204"/>
      <c r="GD60" s="204"/>
      <c r="GE60" s="204"/>
      <c r="GF60" s="204"/>
      <c r="GG60" s="204"/>
      <c r="GH60" s="204"/>
      <c r="GI60" s="204"/>
      <c r="GJ60" s="204"/>
      <c r="GK60" s="204"/>
      <c r="GL60" s="204"/>
      <c r="GM60" s="204"/>
      <c r="GN60" s="204"/>
      <c r="GO60" s="204"/>
      <c r="GP60" s="204"/>
      <c r="GQ60" s="204"/>
      <c r="GR60" s="204"/>
      <c r="GS60" s="204"/>
      <c r="GT60" s="204"/>
      <c r="GU60" s="204"/>
      <c r="GV60" s="204"/>
      <c r="GW60" s="204"/>
      <c r="GX60" s="204"/>
      <c r="GY60" s="204"/>
      <c r="GZ60" s="204"/>
      <c r="HA60" s="204"/>
      <c r="HB60" s="204"/>
      <c r="HC60" s="204"/>
      <c r="HD60" s="204"/>
      <c r="HE60" s="204"/>
      <c r="HF60" s="204"/>
      <c r="HG60" s="204"/>
      <c r="HH60" s="204"/>
      <c r="HI60" s="204"/>
      <c r="HJ60" s="204"/>
      <c r="HK60" s="204"/>
      <c r="HL60" s="204"/>
      <c r="HM60" s="204"/>
      <c r="HN60" s="204"/>
      <c r="HO60" s="204"/>
      <c r="HP60" s="204"/>
      <c r="HQ60" s="204"/>
    </row>
    <row r="61" spans="1:225" ht="13.2">
      <c r="A61" s="168"/>
      <c r="B61" s="168"/>
      <c r="C61" s="168"/>
      <c r="D61" s="178"/>
      <c r="E61" s="169"/>
      <c r="F61" s="169"/>
      <c r="G61" s="169"/>
      <c r="H61" s="169"/>
      <c r="I61" s="210"/>
      <c r="J61" s="210"/>
      <c r="K61" s="169" t="s">
        <v>1238</v>
      </c>
      <c r="L61" s="169"/>
      <c r="M61" s="146"/>
      <c r="N61" s="146"/>
      <c r="O61" s="169"/>
      <c r="P61" s="170">
        <v>10</v>
      </c>
      <c r="Q61" s="170">
        <v>0</v>
      </c>
      <c r="R61" s="171"/>
      <c r="S61" s="171"/>
      <c r="T61" s="146"/>
      <c r="U61" s="146"/>
      <c r="V61" s="172"/>
      <c r="W61" s="173"/>
      <c r="X61" s="174">
        <v>1</v>
      </c>
      <c r="Y61" s="211" t="s">
        <v>1172</v>
      </c>
      <c r="Z61" s="175"/>
      <c r="AA61" s="176"/>
      <c r="AB61" s="177"/>
      <c r="AC61" s="220" t="s">
        <v>1246</v>
      </c>
      <c r="AD61" s="205"/>
      <c r="AE61" s="204"/>
      <c r="AF61" s="204"/>
      <c r="AG61" s="204"/>
      <c r="AH61" s="204"/>
      <c r="AI61" s="204"/>
      <c r="AJ61" s="204"/>
      <c r="AK61" s="204"/>
      <c r="AL61" s="204"/>
      <c r="AM61" s="204"/>
      <c r="AN61" s="204"/>
      <c r="AO61" s="204"/>
      <c r="AP61" s="204"/>
      <c r="AQ61" s="204"/>
      <c r="AR61" s="204"/>
      <c r="AS61" s="204"/>
      <c r="AT61" s="204"/>
      <c r="AU61" s="204"/>
      <c r="AV61" s="204"/>
      <c r="AW61" s="204"/>
      <c r="AX61" s="204"/>
      <c r="AY61" s="204"/>
      <c r="AZ61" s="204"/>
      <c r="BA61" s="204"/>
      <c r="BB61" s="204"/>
      <c r="BC61" s="204"/>
      <c r="BD61" s="204"/>
      <c r="BE61" s="204"/>
      <c r="BF61" s="204"/>
      <c r="BG61" s="204"/>
      <c r="BH61" s="204"/>
      <c r="BI61" s="204"/>
      <c r="BJ61" s="204"/>
      <c r="BK61" s="204"/>
      <c r="BL61" s="204"/>
      <c r="BM61" s="204"/>
      <c r="BN61" s="204"/>
      <c r="BO61" s="204"/>
      <c r="BP61" s="204"/>
      <c r="BQ61" s="204"/>
      <c r="BR61" s="204"/>
      <c r="BS61" s="204"/>
      <c r="BT61" s="204"/>
      <c r="BU61" s="204"/>
      <c r="BV61" s="204"/>
      <c r="BW61" s="204"/>
      <c r="BX61" s="204"/>
      <c r="BY61" s="204"/>
      <c r="BZ61" s="204"/>
      <c r="CA61" s="204"/>
      <c r="CB61" s="204"/>
      <c r="CC61" s="204"/>
      <c r="CD61" s="204"/>
      <c r="CE61" s="204"/>
      <c r="CF61" s="204"/>
      <c r="CG61" s="204"/>
      <c r="CH61" s="204"/>
      <c r="CI61" s="204"/>
      <c r="CJ61" s="204"/>
      <c r="CK61" s="204"/>
      <c r="CL61" s="204"/>
      <c r="CM61" s="204"/>
      <c r="CN61" s="204"/>
      <c r="CO61" s="204"/>
      <c r="CP61" s="204"/>
      <c r="CQ61" s="204"/>
      <c r="CR61" s="204"/>
      <c r="CS61" s="204"/>
      <c r="CT61" s="204"/>
      <c r="CU61" s="204"/>
      <c r="CV61" s="204"/>
      <c r="CW61" s="204"/>
      <c r="CX61" s="204"/>
      <c r="CY61" s="204"/>
      <c r="CZ61" s="204"/>
      <c r="DA61" s="204"/>
      <c r="DB61" s="204"/>
      <c r="DC61" s="204"/>
      <c r="DD61" s="204"/>
      <c r="DE61" s="204"/>
      <c r="DF61" s="204"/>
      <c r="DG61" s="204"/>
      <c r="DH61" s="204"/>
      <c r="DI61" s="204"/>
      <c r="DJ61" s="204"/>
      <c r="DK61" s="204"/>
      <c r="DL61" s="204"/>
      <c r="DM61" s="204"/>
      <c r="DN61" s="204"/>
      <c r="DO61" s="204"/>
      <c r="DP61" s="204"/>
      <c r="DQ61" s="204"/>
      <c r="DR61" s="204"/>
      <c r="DS61" s="204"/>
      <c r="DT61" s="204"/>
      <c r="DU61" s="204"/>
      <c r="DV61" s="204"/>
      <c r="DW61" s="204"/>
      <c r="DX61" s="204"/>
      <c r="DY61" s="204"/>
      <c r="DZ61" s="204"/>
      <c r="EA61" s="204"/>
      <c r="EB61" s="204"/>
      <c r="EC61" s="204"/>
      <c r="ED61" s="204"/>
      <c r="EE61" s="204"/>
      <c r="EF61" s="204"/>
      <c r="EG61" s="204"/>
      <c r="EH61" s="204"/>
      <c r="EI61" s="204"/>
      <c r="EJ61" s="204"/>
      <c r="EK61" s="204"/>
      <c r="EL61" s="204"/>
      <c r="EM61" s="194"/>
      <c r="EN61" s="204"/>
      <c r="EO61" s="204"/>
      <c r="EP61" s="204"/>
      <c r="EQ61" s="204"/>
      <c r="ER61" s="204"/>
      <c r="ES61" s="204"/>
      <c r="ET61" s="204"/>
      <c r="EU61" s="204"/>
      <c r="EV61" s="204"/>
      <c r="EW61" s="204"/>
      <c r="EX61" s="204"/>
      <c r="EY61" s="204"/>
      <c r="EZ61" s="204"/>
      <c r="FA61" s="204"/>
      <c r="FB61" s="204"/>
      <c r="FC61" s="204"/>
      <c r="FD61" s="204"/>
      <c r="FE61" s="204"/>
      <c r="FF61" s="204"/>
      <c r="FG61" s="204"/>
      <c r="FH61" s="204"/>
      <c r="FI61" s="204"/>
      <c r="FJ61" s="204"/>
      <c r="FK61" s="204"/>
      <c r="FL61" s="204"/>
      <c r="FM61" s="204"/>
      <c r="FN61" s="204"/>
      <c r="FO61" s="204"/>
      <c r="FP61" s="204"/>
      <c r="FQ61" s="204"/>
      <c r="FR61" s="204"/>
      <c r="FS61" s="204"/>
      <c r="FT61" s="204"/>
      <c r="FU61" s="204"/>
      <c r="FV61" s="204"/>
      <c r="FW61" s="204"/>
      <c r="FX61" s="204"/>
      <c r="FY61" s="204"/>
      <c r="FZ61" s="204"/>
      <c r="GA61" s="204"/>
      <c r="GB61" s="204"/>
      <c r="GC61" s="204"/>
      <c r="GD61" s="204"/>
      <c r="GE61" s="204"/>
      <c r="GF61" s="204"/>
      <c r="GG61" s="204"/>
      <c r="GH61" s="204"/>
      <c r="GI61" s="204"/>
      <c r="GJ61" s="204"/>
      <c r="GK61" s="204"/>
      <c r="GL61" s="204"/>
      <c r="GM61" s="204"/>
      <c r="GN61" s="204"/>
      <c r="GO61" s="204"/>
      <c r="GP61" s="204"/>
      <c r="GQ61" s="204"/>
      <c r="GR61" s="204"/>
      <c r="GS61" s="204"/>
      <c r="GT61" s="204"/>
      <c r="GU61" s="204"/>
      <c r="GV61" s="204"/>
      <c r="GW61" s="204"/>
      <c r="GX61" s="204"/>
      <c r="GY61" s="204"/>
      <c r="GZ61" s="204"/>
      <c r="HA61" s="204"/>
      <c r="HB61" s="204"/>
      <c r="HC61" s="204"/>
      <c r="HD61" s="204"/>
      <c r="HE61" s="204"/>
      <c r="HF61" s="204"/>
      <c r="HG61" s="204"/>
      <c r="HH61" s="204"/>
      <c r="HI61" s="204"/>
      <c r="HJ61" s="204"/>
      <c r="HK61" s="204"/>
      <c r="HL61" s="204"/>
      <c r="HM61" s="204"/>
      <c r="HN61" s="204"/>
      <c r="HO61" s="204"/>
      <c r="HP61" s="204"/>
      <c r="HQ61" s="204"/>
    </row>
    <row r="62" spans="1:225" ht="13.2">
      <c r="A62" s="168"/>
      <c r="B62" s="168"/>
      <c r="C62" s="168"/>
      <c r="D62" s="178"/>
      <c r="E62" s="169"/>
      <c r="F62" s="169"/>
      <c r="G62" s="169"/>
      <c r="H62" s="169"/>
      <c r="I62" s="210"/>
      <c r="J62" s="210" t="s">
        <v>1214</v>
      </c>
      <c r="K62" s="169"/>
      <c r="L62" s="169"/>
      <c r="M62" s="146">
        <v>43570</v>
      </c>
      <c r="N62" s="146">
        <v>43585</v>
      </c>
      <c r="O62" s="169"/>
      <c r="P62" s="170">
        <v>10</v>
      </c>
      <c r="Q62" s="170">
        <v>0</v>
      </c>
      <c r="R62" s="171"/>
      <c r="S62" s="171"/>
      <c r="T62" s="146"/>
      <c r="U62" s="146"/>
      <c r="V62" s="172"/>
      <c r="W62" s="173"/>
      <c r="X62" s="174">
        <v>1</v>
      </c>
      <c r="Y62" s="211" t="s">
        <v>1172</v>
      </c>
      <c r="Z62" s="175"/>
      <c r="AA62" s="176"/>
      <c r="AB62" s="177"/>
      <c r="AC62" s="220" t="s">
        <v>1246</v>
      </c>
      <c r="AD62" s="205"/>
      <c r="AE62" s="204"/>
      <c r="AF62" s="204"/>
      <c r="AG62" s="204"/>
      <c r="AH62" s="204"/>
      <c r="AI62" s="204"/>
      <c r="AJ62" s="204"/>
      <c r="AK62" s="204"/>
      <c r="AL62" s="204"/>
      <c r="AM62" s="204"/>
      <c r="AN62" s="204"/>
      <c r="AO62" s="204"/>
      <c r="AP62" s="204"/>
      <c r="AQ62" s="204"/>
      <c r="AR62" s="204"/>
      <c r="AS62" s="204"/>
      <c r="AT62" s="204"/>
      <c r="AU62" s="204"/>
      <c r="AV62" s="204"/>
      <c r="AW62" s="204"/>
      <c r="AX62" s="204"/>
      <c r="AY62" s="204"/>
      <c r="AZ62" s="204"/>
      <c r="BA62" s="204"/>
      <c r="BB62" s="204"/>
      <c r="BC62" s="204"/>
      <c r="BD62" s="204"/>
      <c r="BE62" s="204"/>
      <c r="BF62" s="204"/>
      <c r="BG62" s="204"/>
      <c r="BH62" s="204"/>
      <c r="BI62" s="204"/>
      <c r="BJ62" s="204"/>
      <c r="BK62" s="204"/>
      <c r="BL62" s="204"/>
      <c r="BM62" s="204"/>
      <c r="BN62" s="204"/>
      <c r="BO62" s="204"/>
      <c r="BP62" s="204"/>
      <c r="BQ62" s="204"/>
      <c r="BR62" s="204"/>
      <c r="BS62" s="204"/>
      <c r="BT62" s="204"/>
      <c r="BU62" s="204"/>
      <c r="BV62" s="204"/>
      <c r="BW62" s="204"/>
      <c r="BX62" s="204"/>
      <c r="BY62" s="204"/>
      <c r="BZ62" s="204"/>
      <c r="CA62" s="204"/>
      <c r="CB62" s="204"/>
      <c r="CC62" s="204"/>
      <c r="CD62" s="204"/>
      <c r="CE62" s="204"/>
      <c r="CF62" s="204"/>
      <c r="CG62" s="204"/>
      <c r="CH62" s="204"/>
      <c r="CI62" s="204"/>
      <c r="CJ62" s="204"/>
      <c r="CK62" s="204"/>
      <c r="CL62" s="204"/>
      <c r="CM62" s="204"/>
      <c r="CN62" s="204"/>
      <c r="CO62" s="204"/>
      <c r="CP62" s="204"/>
      <c r="CQ62" s="204"/>
      <c r="CR62" s="204"/>
      <c r="CS62" s="204"/>
      <c r="CT62" s="204"/>
      <c r="CU62" s="204"/>
      <c r="CV62" s="204"/>
      <c r="CW62" s="204"/>
      <c r="CX62" s="204"/>
      <c r="CY62" s="204"/>
      <c r="CZ62" s="204"/>
      <c r="DA62" s="204"/>
      <c r="DB62" s="204"/>
      <c r="DC62" s="204"/>
      <c r="DD62" s="204"/>
      <c r="DE62" s="204"/>
      <c r="DF62" s="204"/>
      <c r="DG62" s="204"/>
      <c r="DH62" s="204"/>
      <c r="DI62" s="204"/>
      <c r="DJ62" s="204"/>
      <c r="DK62" s="204"/>
      <c r="DL62" s="204"/>
      <c r="DM62" s="204"/>
      <c r="DN62" s="204"/>
      <c r="DO62" s="204"/>
      <c r="DP62" s="204"/>
      <c r="DQ62" s="204"/>
      <c r="DR62" s="204"/>
      <c r="DS62" s="204"/>
      <c r="DT62" s="204"/>
      <c r="DU62" s="204"/>
      <c r="DV62" s="204"/>
      <c r="DW62" s="204"/>
      <c r="DX62" s="204"/>
      <c r="DY62" s="204"/>
      <c r="DZ62" s="204"/>
      <c r="EA62" s="204"/>
      <c r="EB62" s="204"/>
      <c r="EC62" s="204"/>
      <c r="ED62" s="204"/>
      <c r="EE62" s="204"/>
      <c r="EF62" s="204"/>
      <c r="EG62" s="204"/>
      <c r="EH62" s="204"/>
      <c r="EI62" s="204"/>
      <c r="EJ62" s="204"/>
      <c r="EK62" s="204"/>
      <c r="EL62" s="204"/>
      <c r="EM62" s="194"/>
      <c r="EN62" s="204"/>
      <c r="EO62" s="204"/>
      <c r="EP62" s="204"/>
      <c r="EQ62" s="204"/>
      <c r="ER62" s="204"/>
      <c r="ES62" s="204"/>
      <c r="ET62" s="204"/>
      <c r="EU62" s="204"/>
      <c r="EV62" s="204"/>
      <c r="EW62" s="204"/>
      <c r="EX62" s="204"/>
      <c r="EY62" s="204"/>
      <c r="EZ62" s="204"/>
      <c r="FA62" s="204"/>
      <c r="FB62" s="204"/>
      <c r="FC62" s="204"/>
      <c r="FD62" s="204"/>
      <c r="FE62" s="204"/>
      <c r="FF62" s="204"/>
      <c r="FG62" s="204"/>
      <c r="FH62" s="204"/>
      <c r="FI62" s="204"/>
      <c r="FJ62" s="204"/>
      <c r="FK62" s="204"/>
      <c r="FL62" s="204"/>
      <c r="FM62" s="204"/>
      <c r="FN62" s="204"/>
      <c r="FO62" s="204"/>
      <c r="FP62" s="204"/>
      <c r="FQ62" s="204"/>
      <c r="FR62" s="204"/>
      <c r="FS62" s="204"/>
      <c r="FT62" s="204"/>
      <c r="FU62" s="204"/>
      <c r="FV62" s="204"/>
      <c r="FW62" s="204"/>
      <c r="FX62" s="204"/>
      <c r="FY62" s="204"/>
      <c r="FZ62" s="204"/>
      <c r="GA62" s="204"/>
      <c r="GB62" s="204"/>
      <c r="GC62" s="204"/>
      <c r="GD62" s="204"/>
      <c r="GE62" s="204"/>
      <c r="GF62" s="204"/>
      <c r="GG62" s="204"/>
      <c r="GH62" s="204"/>
      <c r="GI62" s="204"/>
      <c r="GJ62" s="204"/>
      <c r="GK62" s="204"/>
      <c r="GL62" s="204"/>
      <c r="GM62" s="204"/>
      <c r="GN62" s="204"/>
      <c r="GO62" s="204"/>
      <c r="GP62" s="204"/>
      <c r="GQ62" s="204"/>
      <c r="GR62" s="204"/>
      <c r="GS62" s="204"/>
      <c r="GT62" s="204"/>
      <c r="GU62" s="204"/>
      <c r="GV62" s="204"/>
      <c r="GW62" s="204"/>
      <c r="GX62" s="204"/>
      <c r="GY62" s="204"/>
      <c r="GZ62" s="204"/>
      <c r="HA62" s="204"/>
      <c r="HB62" s="204"/>
      <c r="HC62" s="204"/>
      <c r="HD62" s="204"/>
      <c r="HE62" s="204"/>
      <c r="HF62" s="204"/>
      <c r="HG62" s="204"/>
      <c r="HH62" s="204"/>
      <c r="HI62" s="204"/>
      <c r="HJ62" s="204"/>
      <c r="HK62" s="204"/>
      <c r="HL62" s="204"/>
      <c r="HM62" s="204"/>
      <c r="HN62" s="204"/>
      <c r="HO62" s="204"/>
      <c r="HP62" s="204"/>
      <c r="HQ62" s="204"/>
    </row>
    <row r="63" spans="1:225" ht="13.2">
      <c r="A63" s="168"/>
      <c r="B63" s="168"/>
      <c r="C63" s="168"/>
      <c r="D63" s="178"/>
      <c r="E63" s="169"/>
      <c r="F63" s="169"/>
      <c r="G63" s="169"/>
      <c r="H63" s="169"/>
      <c r="I63" s="210"/>
      <c r="J63" s="210"/>
      <c r="K63" s="210" t="s">
        <v>1241</v>
      </c>
      <c r="L63" s="169"/>
      <c r="M63" s="146">
        <v>43570</v>
      </c>
      <c r="N63" s="146">
        <v>43575</v>
      </c>
      <c r="O63" s="169"/>
      <c r="P63" s="170">
        <v>3</v>
      </c>
      <c r="Q63" s="170">
        <v>0</v>
      </c>
      <c r="R63" s="171"/>
      <c r="S63" s="171"/>
      <c r="T63" s="146"/>
      <c r="U63" s="146"/>
      <c r="V63" s="172"/>
      <c r="W63" s="173"/>
      <c r="X63" s="174">
        <v>1</v>
      </c>
      <c r="Y63" s="211" t="s">
        <v>1172</v>
      </c>
      <c r="Z63" s="175"/>
      <c r="AA63" s="176"/>
      <c r="AB63" s="177"/>
      <c r="AC63" s="220" t="s">
        <v>1246</v>
      </c>
      <c r="AD63" s="205"/>
      <c r="AE63" s="204"/>
      <c r="AF63" s="204"/>
      <c r="AG63" s="204"/>
      <c r="AH63" s="204"/>
      <c r="AI63" s="204"/>
      <c r="AJ63" s="204"/>
      <c r="AK63" s="204"/>
      <c r="AL63" s="204"/>
      <c r="AM63" s="204"/>
      <c r="AN63" s="204"/>
      <c r="AO63" s="204"/>
      <c r="AP63" s="204"/>
      <c r="AQ63" s="204"/>
      <c r="AR63" s="204"/>
      <c r="AS63" s="204"/>
      <c r="AT63" s="204"/>
      <c r="AU63" s="204"/>
      <c r="AV63" s="204"/>
      <c r="AW63" s="204"/>
      <c r="AX63" s="204"/>
      <c r="AY63" s="204"/>
      <c r="AZ63" s="204"/>
      <c r="BA63" s="204"/>
      <c r="BB63" s="204"/>
      <c r="BC63" s="204"/>
      <c r="BD63" s="204"/>
      <c r="BE63" s="204"/>
      <c r="BF63" s="204"/>
      <c r="BG63" s="204"/>
      <c r="BH63" s="204"/>
      <c r="BI63" s="204"/>
      <c r="BJ63" s="204"/>
      <c r="BK63" s="204"/>
      <c r="BL63" s="204"/>
      <c r="BM63" s="204"/>
      <c r="BN63" s="204"/>
      <c r="BO63" s="204"/>
      <c r="BP63" s="204"/>
      <c r="BQ63" s="204"/>
      <c r="BR63" s="204"/>
      <c r="BS63" s="204"/>
      <c r="BT63" s="204"/>
      <c r="BU63" s="204"/>
      <c r="BV63" s="204"/>
      <c r="BW63" s="204"/>
      <c r="BX63" s="204"/>
      <c r="BY63" s="204"/>
      <c r="BZ63" s="204"/>
      <c r="CA63" s="204"/>
      <c r="CB63" s="204"/>
      <c r="CC63" s="204"/>
      <c r="CD63" s="204"/>
      <c r="CE63" s="204"/>
      <c r="CF63" s="204"/>
      <c r="CG63" s="204"/>
      <c r="CH63" s="204"/>
      <c r="CI63" s="204"/>
      <c r="CJ63" s="204"/>
      <c r="CK63" s="204"/>
      <c r="CL63" s="204"/>
      <c r="CM63" s="204"/>
      <c r="CN63" s="204"/>
      <c r="CO63" s="204"/>
      <c r="CP63" s="204"/>
      <c r="CQ63" s="204"/>
      <c r="CR63" s="204"/>
      <c r="CS63" s="204"/>
      <c r="CT63" s="204"/>
      <c r="CU63" s="204"/>
      <c r="CV63" s="204"/>
      <c r="CW63" s="204"/>
      <c r="CX63" s="204"/>
      <c r="CY63" s="204"/>
      <c r="CZ63" s="204"/>
      <c r="DA63" s="204"/>
      <c r="DB63" s="204"/>
      <c r="DC63" s="204"/>
      <c r="DD63" s="204"/>
      <c r="DE63" s="204"/>
      <c r="DF63" s="204"/>
      <c r="DG63" s="204"/>
      <c r="DH63" s="204"/>
      <c r="DI63" s="204"/>
      <c r="DJ63" s="204"/>
      <c r="DK63" s="204"/>
      <c r="DL63" s="204"/>
      <c r="DM63" s="204"/>
      <c r="DN63" s="204"/>
      <c r="DO63" s="204"/>
      <c r="DP63" s="204"/>
      <c r="DQ63" s="204"/>
      <c r="DR63" s="204"/>
      <c r="DS63" s="204"/>
      <c r="DT63" s="204"/>
      <c r="DU63" s="204"/>
      <c r="DV63" s="204"/>
      <c r="DW63" s="204"/>
      <c r="DX63" s="204"/>
      <c r="DY63" s="204"/>
      <c r="DZ63" s="204"/>
      <c r="EA63" s="204"/>
      <c r="EB63" s="204"/>
      <c r="EC63" s="204"/>
      <c r="ED63" s="204"/>
      <c r="EE63" s="204"/>
      <c r="EF63" s="204"/>
      <c r="EG63" s="204"/>
      <c r="EH63" s="204"/>
      <c r="EI63" s="204"/>
      <c r="EJ63" s="204"/>
      <c r="EK63" s="204"/>
      <c r="EL63" s="204"/>
      <c r="EM63" s="194"/>
      <c r="EN63" s="204"/>
      <c r="EO63" s="204"/>
      <c r="EP63" s="204"/>
      <c r="EQ63" s="204"/>
      <c r="ER63" s="204"/>
      <c r="ES63" s="204"/>
      <c r="ET63" s="204"/>
      <c r="EU63" s="204"/>
      <c r="EV63" s="204"/>
      <c r="EW63" s="204"/>
      <c r="EX63" s="204"/>
      <c r="EY63" s="204"/>
      <c r="EZ63" s="204"/>
      <c r="FA63" s="204"/>
      <c r="FB63" s="204"/>
      <c r="FC63" s="204"/>
      <c r="FD63" s="204"/>
      <c r="FE63" s="204"/>
      <c r="FF63" s="204"/>
      <c r="FG63" s="204"/>
      <c r="FH63" s="204"/>
      <c r="FI63" s="204"/>
      <c r="FJ63" s="204"/>
      <c r="FK63" s="204"/>
      <c r="FL63" s="204"/>
      <c r="FM63" s="204"/>
      <c r="FN63" s="204"/>
      <c r="FO63" s="204"/>
      <c r="FP63" s="204"/>
      <c r="FQ63" s="204"/>
      <c r="FR63" s="204"/>
      <c r="FS63" s="204"/>
      <c r="FT63" s="204"/>
      <c r="FU63" s="204"/>
      <c r="FV63" s="204"/>
      <c r="FW63" s="204"/>
      <c r="FX63" s="204"/>
      <c r="FY63" s="204"/>
      <c r="FZ63" s="204"/>
      <c r="GA63" s="204"/>
      <c r="GB63" s="204"/>
      <c r="GC63" s="204"/>
      <c r="GD63" s="204"/>
      <c r="GE63" s="204"/>
      <c r="GF63" s="204"/>
      <c r="GG63" s="204"/>
      <c r="GH63" s="204"/>
      <c r="GI63" s="204"/>
      <c r="GJ63" s="204"/>
      <c r="GK63" s="204"/>
      <c r="GL63" s="204"/>
      <c r="GM63" s="204"/>
      <c r="GN63" s="204"/>
      <c r="GO63" s="204"/>
      <c r="GP63" s="204"/>
      <c r="GQ63" s="204"/>
      <c r="GR63" s="204"/>
      <c r="GS63" s="204"/>
      <c r="GT63" s="204"/>
      <c r="GU63" s="204"/>
      <c r="GV63" s="204"/>
      <c r="GW63" s="204"/>
      <c r="GX63" s="204"/>
      <c r="GY63" s="204"/>
      <c r="GZ63" s="204"/>
      <c r="HA63" s="204"/>
      <c r="HB63" s="204"/>
      <c r="HC63" s="204"/>
      <c r="HD63" s="204"/>
      <c r="HE63" s="204"/>
      <c r="HF63" s="204"/>
      <c r="HG63" s="204"/>
      <c r="HH63" s="204"/>
      <c r="HI63" s="204"/>
      <c r="HJ63" s="204"/>
      <c r="HK63" s="204"/>
      <c r="HL63" s="204"/>
      <c r="HM63" s="204"/>
      <c r="HN63" s="204"/>
      <c r="HO63" s="204"/>
      <c r="HP63" s="204"/>
      <c r="HQ63" s="204"/>
    </row>
    <row r="64" spans="1:225" ht="13.2">
      <c r="A64" s="168"/>
      <c r="B64" s="168"/>
      <c r="C64" s="168"/>
      <c r="D64" s="178"/>
      <c r="E64" s="169"/>
      <c r="F64" s="169"/>
      <c r="G64" s="169"/>
      <c r="H64" s="169"/>
      <c r="I64" s="210"/>
      <c r="J64" s="210"/>
      <c r="K64" s="210" t="s">
        <v>1242</v>
      </c>
      <c r="L64" s="169"/>
      <c r="M64" s="146">
        <v>43576</v>
      </c>
      <c r="N64" s="146">
        <v>43581</v>
      </c>
      <c r="O64" s="169"/>
      <c r="P64" s="170">
        <v>3</v>
      </c>
      <c r="Q64" s="170">
        <v>0</v>
      </c>
      <c r="R64" s="171"/>
      <c r="S64" s="171"/>
      <c r="T64" s="146"/>
      <c r="U64" s="146"/>
      <c r="V64" s="172"/>
      <c r="W64" s="173"/>
      <c r="X64" s="174">
        <v>1</v>
      </c>
      <c r="Y64" s="211" t="s">
        <v>1172</v>
      </c>
      <c r="Z64" s="175"/>
      <c r="AA64" s="176"/>
      <c r="AB64" s="177"/>
      <c r="AC64" s="220" t="s">
        <v>1246</v>
      </c>
      <c r="AD64" s="205"/>
      <c r="AE64" s="204"/>
      <c r="AF64" s="204"/>
      <c r="AG64" s="204"/>
      <c r="AH64" s="204"/>
      <c r="AI64" s="204"/>
      <c r="AJ64" s="204"/>
      <c r="AK64" s="204"/>
      <c r="AL64" s="204"/>
      <c r="AM64" s="204"/>
      <c r="AN64" s="204"/>
      <c r="AO64" s="204"/>
      <c r="AP64" s="204"/>
      <c r="AQ64" s="204"/>
      <c r="AR64" s="204"/>
      <c r="AS64" s="204"/>
      <c r="AT64" s="204"/>
      <c r="AU64" s="204"/>
      <c r="AV64" s="204"/>
      <c r="AW64" s="204"/>
      <c r="AX64" s="204"/>
      <c r="AY64" s="204"/>
      <c r="AZ64" s="204"/>
      <c r="BA64" s="204"/>
      <c r="BB64" s="204"/>
      <c r="BC64" s="204"/>
      <c r="BD64" s="204"/>
      <c r="BE64" s="204"/>
      <c r="BF64" s="204"/>
      <c r="BG64" s="204"/>
      <c r="BH64" s="204"/>
      <c r="BI64" s="204"/>
      <c r="BJ64" s="204"/>
      <c r="BK64" s="204"/>
      <c r="BL64" s="204"/>
      <c r="BM64" s="204"/>
      <c r="BN64" s="204"/>
      <c r="BO64" s="204"/>
      <c r="BP64" s="204"/>
      <c r="BQ64" s="204"/>
      <c r="BR64" s="204"/>
      <c r="BS64" s="204"/>
      <c r="BT64" s="204"/>
      <c r="BU64" s="204"/>
      <c r="BV64" s="204"/>
      <c r="BW64" s="204"/>
      <c r="BX64" s="204"/>
      <c r="BY64" s="204"/>
      <c r="BZ64" s="204"/>
      <c r="CA64" s="204"/>
      <c r="CB64" s="204"/>
      <c r="CC64" s="204"/>
      <c r="CD64" s="204"/>
      <c r="CE64" s="204"/>
      <c r="CF64" s="204"/>
      <c r="CG64" s="204"/>
      <c r="CH64" s="204"/>
      <c r="CI64" s="204"/>
      <c r="CJ64" s="204"/>
      <c r="CK64" s="204"/>
      <c r="CL64" s="204"/>
      <c r="CM64" s="204"/>
      <c r="CN64" s="204"/>
      <c r="CO64" s="204"/>
      <c r="CP64" s="204"/>
      <c r="CQ64" s="204"/>
      <c r="CR64" s="204"/>
      <c r="CS64" s="204"/>
      <c r="CT64" s="204"/>
      <c r="CU64" s="204"/>
      <c r="CV64" s="204"/>
      <c r="CW64" s="204"/>
      <c r="CX64" s="204"/>
      <c r="CY64" s="204"/>
      <c r="CZ64" s="204"/>
      <c r="DA64" s="204"/>
      <c r="DB64" s="204"/>
      <c r="DC64" s="204"/>
      <c r="DD64" s="204"/>
      <c r="DE64" s="204"/>
      <c r="DF64" s="204"/>
      <c r="DG64" s="204"/>
      <c r="DH64" s="204"/>
      <c r="DI64" s="204"/>
      <c r="DJ64" s="204"/>
      <c r="DK64" s="204"/>
      <c r="DL64" s="204"/>
      <c r="DM64" s="204"/>
      <c r="DN64" s="204"/>
      <c r="DO64" s="204"/>
      <c r="DP64" s="204"/>
      <c r="DQ64" s="204"/>
      <c r="DR64" s="204"/>
      <c r="DS64" s="204"/>
      <c r="DT64" s="204"/>
      <c r="DU64" s="204"/>
      <c r="DV64" s="204"/>
      <c r="DW64" s="204"/>
      <c r="DX64" s="204"/>
      <c r="DY64" s="204"/>
      <c r="DZ64" s="204"/>
      <c r="EA64" s="204"/>
      <c r="EB64" s="204"/>
      <c r="EC64" s="204"/>
      <c r="ED64" s="204"/>
      <c r="EE64" s="204"/>
      <c r="EF64" s="204"/>
      <c r="EG64" s="204"/>
      <c r="EH64" s="204"/>
      <c r="EI64" s="204"/>
      <c r="EJ64" s="204"/>
      <c r="EK64" s="204"/>
      <c r="EL64" s="204"/>
      <c r="EM64" s="194"/>
      <c r="EN64" s="204"/>
      <c r="EO64" s="204"/>
      <c r="EP64" s="204"/>
      <c r="EQ64" s="204"/>
      <c r="ER64" s="204"/>
      <c r="ES64" s="204"/>
      <c r="ET64" s="204"/>
      <c r="EU64" s="204"/>
      <c r="EV64" s="204"/>
      <c r="EW64" s="204"/>
      <c r="EX64" s="204"/>
      <c r="EY64" s="204"/>
      <c r="EZ64" s="204"/>
      <c r="FA64" s="204"/>
      <c r="FB64" s="204"/>
      <c r="FC64" s="204"/>
      <c r="FD64" s="204"/>
      <c r="FE64" s="204"/>
      <c r="FF64" s="204"/>
      <c r="FG64" s="204"/>
      <c r="FH64" s="204"/>
      <c r="FI64" s="204"/>
      <c r="FJ64" s="204"/>
      <c r="FK64" s="204"/>
      <c r="FL64" s="204"/>
      <c r="FM64" s="204"/>
      <c r="FN64" s="204"/>
      <c r="FO64" s="204"/>
      <c r="FP64" s="204"/>
      <c r="FQ64" s="204"/>
      <c r="FR64" s="204"/>
      <c r="FS64" s="204"/>
      <c r="FT64" s="204"/>
      <c r="FU64" s="204"/>
      <c r="FV64" s="204"/>
      <c r="FW64" s="204"/>
      <c r="FX64" s="204"/>
      <c r="FY64" s="204"/>
      <c r="FZ64" s="204"/>
      <c r="GA64" s="204"/>
      <c r="GB64" s="204"/>
      <c r="GC64" s="204"/>
      <c r="GD64" s="204"/>
      <c r="GE64" s="204"/>
      <c r="GF64" s="204"/>
      <c r="GG64" s="204"/>
      <c r="GH64" s="204"/>
      <c r="GI64" s="204"/>
      <c r="GJ64" s="204"/>
      <c r="GK64" s="204"/>
      <c r="GL64" s="204"/>
      <c r="GM64" s="204"/>
      <c r="GN64" s="204"/>
      <c r="GO64" s="204"/>
      <c r="GP64" s="204"/>
      <c r="GQ64" s="204"/>
      <c r="GR64" s="204"/>
      <c r="GS64" s="204"/>
      <c r="GT64" s="204"/>
      <c r="GU64" s="204"/>
      <c r="GV64" s="204"/>
      <c r="GW64" s="204"/>
      <c r="GX64" s="204"/>
      <c r="GY64" s="204"/>
      <c r="GZ64" s="204"/>
      <c r="HA64" s="204"/>
      <c r="HB64" s="204"/>
      <c r="HC64" s="204"/>
      <c r="HD64" s="204"/>
      <c r="HE64" s="204"/>
      <c r="HF64" s="204"/>
      <c r="HG64" s="204"/>
      <c r="HH64" s="204"/>
      <c r="HI64" s="204"/>
      <c r="HJ64" s="204"/>
      <c r="HK64" s="204"/>
      <c r="HL64" s="204"/>
      <c r="HM64" s="204"/>
      <c r="HN64" s="204"/>
      <c r="HO64" s="204"/>
      <c r="HP64" s="204"/>
      <c r="HQ64" s="204"/>
    </row>
    <row r="65" spans="1:225" ht="13.2">
      <c r="A65" s="168"/>
      <c r="B65" s="168"/>
      <c r="C65" s="168"/>
      <c r="D65" s="178"/>
      <c r="E65" s="169"/>
      <c r="F65" s="169"/>
      <c r="G65" s="169"/>
      <c r="H65" s="169"/>
      <c r="I65" s="210"/>
      <c r="J65" s="210"/>
      <c r="K65" s="210" t="s">
        <v>1243</v>
      </c>
      <c r="L65" s="169"/>
      <c r="M65" s="146">
        <v>43582</v>
      </c>
      <c r="N65" s="146">
        <v>43585</v>
      </c>
      <c r="O65" s="169"/>
      <c r="P65" s="170">
        <v>4</v>
      </c>
      <c r="Q65" s="170">
        <v>0</v>
      </c>
      <c r="R65" s="171"/>
      <c r="S65" s="171"/>
      <c r="T65" s="146"/>
      <c r="U65" s="146"/>
      <c r="V65" s="172"/>
      <c r="W65" s="173"/>
      <c r="X65" s="174">
        <v>1</v>
      </c>
      <c r="Y65" s="211" t="s">
        <v>1172</v>
      </c>
      <c r="Z65" s="175"/>
      <c r="AA65" s="176"/>
      <c r="AB65" s="177"/>
      <c r="AC65" s="220" t="s">
        <v>1246</v>
      </c>
      <c r="AD65" s="205"/>
      <c r="AE65" s="204"/>
      <c r="AF65" s="204"/>
      <c r="AG65" s="204"/>
      <c r="AH65" s="204"/>
      <c r="AI65" s="204"/>
      <c r="AJ65" s="204"/>
      <c r="AK65" s="204"/>
      <c r="AL65" s="204"/>
      <c r="AM65" s="204"/>
      <c r="AN65" s="204"/>
      <c r="AO65" s="204"/>
      <c r="AP65" s="204"/>
      <c r="AQ65" s="204"/>
      <c r="AR65" s="204"/>
      <c r="AS65" s="204"/>
      <c r="AT65" s="204"/>
      <c r="AU65" s="204"/>
      <c r="AV65" s="204"/>
      <c r="AW65" s="204"/>
      <c r="AX65" s="204"/>
      <c r="AY65" s="204"/>
      <c r="AZ65" s="204"/>
      <c r="BA65" s="204"/>
      <c r="BB65" s="204"/>
      <c r="BC65" s="204"/>
      <c r="BD65" s="204"/>
      <c r="BE65" s="204"/>
      <c r="BF65" s="204"/>
      <c r="BG65" s="204"/>
      <c r="BH65" s="204"/>
      <c r="BI65" s="204"/>
      <c r="BJ65" s="204"/>
      <c r="BK65" s="204"/>
      <c r="BL65" s="204"/>
      <c r="BM65" s="204"/>
      <c r="BN65" s="204"/>
      <c r="BO65" s="204"/>
      <c r="BP65" s="204"/>
      <c r="BQ65" s="204"/>
      <c r="BR65" s="204"/>
      <c r="BS65" s="204"/>
      <c r="BT65" s="204"/>
      <c r="BU65" s="204"/>
      <c r="BV65" s="204"/>
      <c r="BW65" s="204"/>
      <c r="BX65" s="204"/>
      <c r="BY65" s="204"/>
      <c r="BZ65" s="204"/>
      <c r="CA65" s="204"/>
      <c r="CB65" s="204"/>
      <c r="CC65" s="204"/>
      <c r="CD65" s="204"/>
      <c r="CE65" s="204"/>
      <c r="CF65" s="204"/>
      <c r="CG65" s="204"/>
      <c r="CH65" s="204"/>
      <c r="CI65" s="204"/>
      <c r="CJ65" s="204"/>
      <c r="CK65" s="204"/>
      <c r="CL65" s="204"/>
      <c r="CM65" s="204"/>
      <c r="CN65" s="204"/>
      <c r="CO65" s="204"/>
      <c r="CP65" s="204"/>
      <c r="CQ65" s="204"/>
      <c r="CR65" s="204"/>
      <c r="CS65" s="204"/>
      <c r="CT65" s="204"/>
      <c r="CU65" s="204"/>
      <c r="CV65" s="204"/>
      <c r="CW65" s="204"/>
      <c r="CX65" s="204"/>
      <c r="CY65" s="204"/>
      <c r="CZ65" s="204"/>
      <c r="DA65" s="204"/>
      <c r="DB65" s="204"/>
      <c r="DC65" s="204"/>
      <c r="DD65" s="204"/>
      <c r="DE65" s="204"/>
      <c r="DF65" s="204"/>
      <c r="DG65" s="204"/>
      <c r="DH65" s="204"/>
      <c r="DI65" s="204"/>
      <c r="DJ65" s="204"/>
      <c r="DK65" s="204"/>
      <c r="DL65" s="204"/>
      <c r="DM65" s="204"/>
      <c r="DN65" s="204"/>
      <c r="DO65" s="204"/>
      <c r="DP65" s="204"/>
      <c r="DQ65" s="204"/>
      <c r="DR65" s="204"/>
      <c r="DS65" s="204"/>
      <c r="DT65" s="204"/>
      <c r="DU65" s="204"/>
      <c r="DV65" s="204"/>
      <c r="DW65" s="204"/>
      <c r="DX65" s="204"/>
      <c r="DY65" s="204"/>
      <c r="DZ65" s="204"/>
      <c r="EA65" s="204"/>
      <c r="EB65" s="204"/>
      <c r="EC65" s="204"/>
      <c r="ED65" s="204"/>
      <c r="EE65" s="204"/>
      <c r="EF65" s="204"/>
      <c r="EG65" s="204"/>
      <c r="EH65" s="204"/>
      <c r="EI65" s="204"/>
      <c r="EJ65" s="204"/>
      <c r="EK65" s="204"/>
      <c r="EL65" s="204"/>
      <c r="EM65" s="194"/>
      <c r="EN65" s="204"/>
      <c r="EO65" s="204"/>
      <c r="EP65" s="204"/>
      <c r="EQ65" s="204"/>
      <c r="ER65" s="204"/>
      <c r="ES65" s="204"/>
      <c r="ET65" s="204"/>
      <c r="EU65" s="204"/>
      <c r="EV65" s="204"/>
      <c r="EW65" s="204"/>
      <c r="EX65" s="204"/>
      <c r="EY65" s="204"/>
      <c r="EZ65" s="204"/>
      <c r="FA65" s="204"/>
      <c r="FB65" s="204"/>
      <c r="FC65" s="204"/>
      <c r="FD65" s="204"/>
      <c r="FE65" s="204"/>
      <c r="FF65" s="204"/>
      <c r="FG65" s="204"/>
      <c r="FH65" s="204"/>
      <c r="FI65" s="204"/>
      <c r="FJ65" s="204"/>
      <c r="FK65" s="204"/>
      <c r="FL65" s="204"/>
      <c r="FM65" s="204"/>
      <c r="FN65" s="204"/>
      <c r="FO65" s="204"/>
      <c r="FP65" s="204"/>
      <c r="FQ65" s="204"/>
      <c r="FR65" s="204"/>
      <c r="FS65" s="204"/>
      <c r="FT65" s="204"/>
      <c r="FU65" s="204"/>
      <c r="FV65" s="204"/>
      <c r="FW65" s="204"/>
      <c r="FX65" s="204"/>
      <c r="FY65" s="204"/>
      <c r="FZ65" s="204"/>
      <c r="GA65" s="204"/>
      <c r="GB65" s="204"/>
      <c r="GC65" s="204"/>
      <c r="GD65" s="204"/>
      <c r="GE65" s="204"/>
      <c r="GF65" s="204"/>
      <c r="GG65" s="204"/>
      <c r="GH65" s="204"/>
      <c r="GI65" s="204"/>
      <c r="GJ65" s="204"/>
      <c r="GK65" s="204"/>
      <c r="GL65" s="204"/>
      <c r="GM65" s="204"/>
      <c r="GN65" s="204"/>
      <c r="GO65" s="204"/>
      <c r="GP65" s="204"/>
      <c r="GQ65" s="204"/>
      <c r="GR65" s="204"/>
      <c r="GS65" s="204"/>
      <c r="GT65" s="204"/>
      <c r="GU65" s="204"/>
      <c r="GV65" s="204"/>
      <c r="GW65" s="204"/>
      <c r="GX65" s="204"/>
      <c r="GY65" s="204"/>
      <c r="GZ65" s="204"/>
      <c r="HA65" s="204"/>
      <c r="HB65" s="204"/>
      <c r="HC65" s="204"/>
      <c r="HD65" s="204"/>
      <c r="HE65" s="204"/>
      <c r="HF65" s="204"/>
      <c r="HG65" s="204"/>
      <c r="HH65" s="204"/>
      <c r="HI65" s="204"/>
      <c r="HJ65" s="204"/>
      <c r="HK65" s="204"/>
      <c r="HL65" s="204"/>
      <c r="HM65" s="204"/>
      <c r="HN65" s="204"/>
      <c r="HO65" s="204"/>
      <c r="HP65" s="204"/>
      <c r="HQ65" s="204"/>
    </row>
    <row r="66" spans="1:225" ht="13.2">
      <c r="A66" s="168"/>
      <c r="B66" s="168"/>
      <c r="C66" s="168">
        <v>5</v>
      </c>
      <c r="D66" s="178" t="s">
        <v>1051</v>
      </c>
      <c r="E66" s="169"/>
      <c r="F66" s="169"/>
      <c r="G66" s="169"/>
      <c r="H66" s="169"/>
      <c r="I66" s="210" t="s">
        <v>1184</v>
      </c>
      <c r="J66" s="169"/>
      <c r="K66" s="169"/>
      <c r="L66" s="169"/>
      <c r="M66" s="146">
        <v>43544</v>
      </c>
      <c r="N66" s="146">
        <v>43595</v>
      </c>
      <c r="O66" s="169"/>
      <c r="P66" s="170">
        <v>50</v>
      </c>
      <c r="Q66" s="170">
        <v>0</v>
      </c>
      <c r="R66" s="171" t="e">
        <f ca="1">IF(M66="","0",(N66-M66+1)-COUNTIFS(INDIRECT(getCalendarRange(O66)),"&gt;=" &amp; M66,INDIRECT(getCalendarRange(O66)),"&lt;=" &amp; N66))</f>
        <v>#NAME?</v>
      </c>
      <c r="S66" s="171">
        <f ca="1">IF(M66&gt;TODAY(),0,IF(N66&lt;TODAY(),R66,(TODAY()-M66+1)-COUNTIFS(INDIRECT(getCalendarRange(O66)),"&gt;=" &amp; M66,INDIRECT(getCalendarRange(O66)),"&lt;=" &amp; TODAY())))</f>
        <v>0</v>
      </c>
      <c r="T66" s="146"/>
      <c r="U66" s="146"/>
      <c r="V66" s="172"/>
      <c r="W66" s="173" t="str">
        <f ca="1">IF(U66="","0",IF(T66="","0",(U66-T66+1)-COUNTIFS(INDIRECT(getCalendarRange(O66)),"&gt;=" &amp; T66,INDIRECT(getCalendarRange(O66)),"&lt;=" &amp; U66)))</f>
        <v>0</v>
      </c>
      <c r="X66" s="174">
        <v>1</v>
      </c>
      <c r="Y66" s="211" t="s">
        <v>1179</v>
      </c>
      <c r="Z66" s="175"/>
      <c r="AA66" s="176">
        <v>0</v>
      </c>
      <c r="AB66" s="177">
        <v>0</v>
      </c>
      <c r="AD66" s="205"/>
      <c r="AE66" s="204"/>
      <c r="AF66" s="204"/>
      <c r="AG66" s="204"/>
      <c r="AH66" s="204"/>
      <c r="AI66" s="204"/>
      <c r="AJ66" s="204"/>
      <c r="AK66" s="204"/>
      <c r="AL66" s="204"/>
      <c r="AM66" s="204"/>
      <c r="AN66" s="204"/>
      <c r="AO66" s="204"/>
      <c r="AP66" s="204"/>
      <c r="AQ66" s="204"/>
      <c r="AR66" s="204"/>
      <c r="AS66" s="204"/>
      <c r="AT66" s="204"/>
      <c r="AU66" s="204"/>
      <c r="AV66" s="204"/>
      <c r="AW66" s="204"/>
      <c r="AX66" s="204"/>
      <c r="AY66" s="204"/>
      <c r="AZ66" s="204"/>
      <c r="BA66" s="204"/>
      <c r="BB66" s="204"/>
      <c r="BC66" s="204"/>
      <c r="BD66" s="204"/>
      <c r="BE66" s="204"/>
      <c r="BF66" s="204"/>
      <c r="BG66" s="204"/>
      <c r="BH66" s="204"/>
      <c r="BI66" s="204"/>
      <c r="BJ66" s="204"/>
      <c r="BK66" s="204"/>
      <c r="BL66" s="204"/>
      <c r="BM66" s="204"/>
      <c r="BN66" s="204"/>
      <c r="BO66" s="204"/>
      <c r="BP66" s="204"/>
      <c r="BQ66" s="204"/>
      <c r="BR66" s="204"/>
      <c r="BS66" s="204"/>
      <c r="BT66" s="204"/>
      <c r="BU66" s="204"/>
      <c r="BV66" s="204"/>
      <c r="BW66" s="204"/>
      <c r="BX66" s="204"/>
      <c r="BY66" s="204"/>
      <c r="BZ66" s="204"/>
      <c r="CA66" s="204"/>
      <c r="CB66" s="204"/>
      <c r="CC66" s="204"/>
      <c r="CD66" s="204"/>
      <c r="CE66" s="204"/>
      <c r="CF66" s="204"/>
      <c r="CG66" s="204"/>
      <c r="CH66" s="204"/>
      <c r="CI66" s="204"/>
      <c r="CJ66" s="204"/>
      <c r="CK66" s="204"/>
      <c r="CL66" s="204"/>
      <c r="CM66" s="204"/>
      <c r="CN66" s="204"/>
      <c r="CO66" s="204"/>
      <c r="CP66" s="204"/>
      <c r="CQ66" s="204"/>
      <c r="CR66" s="204"/>
      <c r="CS66" s="204"/>
      <c r="CT66" s="204"/>
      <c r="CU66" s="204"/>
      <c r="CV66" s="204"/>
      <c r="CW66" s="204"/>
      <c r="CX66" s="204"/>
      <c r="CY66" s="204"/>
      <c r="CZ66" s="204"/>
      <c r="DA66" s="204"/>
      <c r="DB66" s="204"/>
      <c r="DC66" s="204"/>
      <c r="DD66" s="204"/>
      <c r="DE66" s="204"/>
      <c r="DF66" s="204"/>
      <c r="DG66" s="204"/>
      <c r="DH66" s="204"/>
      <c r="DI66" s="204"/>
      <c r="DJ66" s="204"/>
      <c r="DK66" s="204"/>
      <c r="DL66" s="204"/>
      <c r="DM66" s="204"/>
      <c r="DN66" s="204"/>
      <c r="DO66" s="204"/>
      <c r="DP66" s="204"/>
      <c r="DQ66" s="204"/>
      <c r="DR66" s="204"/>
      <c r="DS66" s="204"/>
      <c r="DT66" s="204"/>
      <c r="DU66" s="204"/>
      <c r="DV66" s="204"/>
      <c r="DW66" s="204"/>
      <c r="DX66" s="204"/>
      <c r="DY66" s="204"/>
      <c r="DZ66" s="204"/>
      <c r="EA66" s="204"/>
      <c r="EB66" s="204"/>
      <c r="EC66" s="204"/>
      <c r="ED66" s="204"/>
      <c r="EE66" s="204"/>
      <c r="EF66" s="204"/>
      <c r="EG66" s="204"/>
      <c r="EH66" s="204"/>
      <c r="EI66" s="204"/>
      <c r="EJ66" s="204"/>
      <c r="EK66" s="204"/>
      <c r="EL66" s="204" t="str">
        <f>I66 &amp; " " &amp; IF(M66="","",TEXT(M66,"M/D-")) &amp; IF(N66="","",TEXT(N66,"M/D")) &amp; " "</f>
        <v xml:space="preserve">하드웨어 3/20-5/10 </v>
      </c>
      <c r="EM66" s="194" t="str">
        <f>TEXT(AB66,"#0.00%") &amp; " "</f>
        <v xml:space="preserve">0.00% </v>
      </c>
      <c r="EN66" s="204"/>
      <c r="EO66" s="204"/>
      <c r="EP66" s="204"/>
      <c r="EQ66" s="204"/>
      <c r="ER66" s="204"/>
      <c r="ES66" s="204"/>
      <c r="ET66" s="204"/>
      <c r="EU66" s="204"/>
      <c r="EV66" s="204"/>
      <c r="EW66" s="204"/>
      <c r="EX66" s="204"/>
      <c r="EY66" s="204"/>
      <c r="EZ66" s="204"/>
      <c r="FA66" s="204"/>
      <c r="FB66" s="204"/>
      <c r="FC66" s="204"/>
      <c r="FD66" s="204"/>
      <c r="FE66" s="204"/>
      <c r="FF66" s="204"/>
      <c r="FG66" s="204"/>
      <c r="FH66" s="204"/>
      <c r="FI66" s="204"/>
      <c r="FJ66" s="204"/>
      <c r="FK66" s="204"/>
      <c r="FL66" s="204"/>
      <c r="FM66" s="204"/>
      <c r="FN66" s="204"/>
      <c r="FO66" s="204"/>
      <c r="FP66" s="204"/>
      <c r="FQ66" s="204"/>
      <c r="FR66" s="204"/>
      <c r="FS66" s="204"/>
      <c r="FT66" s="204"/>
      <c r="FU66" s="204"/>
      <c r="FV66" s="204"/>
      <c r="FW66" s="204"/>
      <c r="FX66" s="204"/>
      <c r="FY66" s="204"/>
      <c r="FZ66" s="204"/>
      <c r="GA66" s="204"/>
      <c r="GB66" s="204"/>
      <c r="GC66" s="204"/>
      <c r="GD66" s="204"/>
      <c r="GE66" s="204"/>
      <c r="GF66" s="204"/>
      <c r="GG66" s="204"/>
      <c r="GH66" s="204"/>
      <c r="GI66" s="204"/>
      <c r="GJ66" s="204"/>
      <c r="GK66" s="204"/>
      <c r="GL66" s="204"/>
      <c r="GM66" s="204"/>
      <c r="GN66" s="204"/>
      <c r="GO66" s="204"/>
      <c r="GP66" s="204"/>
      <c r="GQ66" s="204"/>
      <c r="GR66" s="204"/>
      <c r="GS66" s="204"/>
      <c r="GT66" s="204"/>
      <c r="GU66" s="204"/>
      <c r="GV66" s="204"/>
      <c r="GW66" s="204"/>
      <c r="GX66" s="204"/>
      <c r="GY66" s="204"/>
      <c r="GZ66" s="204"/>
      <c r="HA66" s="204"/>
      <c r="HB66" s="204"/>
      <c r="HC66" s="204"/>
      <c r="HD66" s="204"/>
      <c r="HE66" s="204"/>
      <c r="HF66" s="204"/>
      <c r="HG66" s="204"/>
      <c r="HH66" s="204"/>
      <c r="HI66" s="204"/>
      <c r="HJ66" s="204"/>
      <c r="HK66" s="204"/>
      <c r="HL66" s="204"/>
      <c r="HM66" s="204"/>
      <c r="HN66" s="204"/>
      <c r="HO66" s="204"/>
      <c r="HP66" s="204"/>
      <c r="HQ66" s="204"/>
    </row>
    <row r="67" spans="1:225" ht="13.2">
      <c r="A67" s="168"/>
      <c r="B67" s="168"/>
      <c r="C67" s="168"/>
      <c r="D67" s="178"/>
      <c r="E67" s="169"/>
      <c r="F67" s="169"/>
      <c r="G67" s="169"/>
      <c r="H67" s="169"/>
      <c r="I67" s="210"/>
      <c r="J67" s="169" t="s">
        <v>1206</v>
      </c>
      <c r="K67" s="169"/>
      <c r="L67" s="169"/>
      <c r="M67" s="146">
        <v>43544</v>
      </c>
      <c r="N67" s="146">
        <v>43554</v>
      </c>
      <c r="O67" s="169"/>
      <c r="P67" s="170">
        <v>8</v>
      </c>
      <c r="Q67" s="170">
        <v>0</v>
      </c>
      <c r="R67" s="171"/>
      <c r="S67" s="171"/>
      <c r="T67" s="146"/>
      <c r="U67" s="146"/>
      <c r="V67" s="172"/>
      <c r="W67" s="173"/>
      <c r="X67" s="174">
        <v>1</v>
      </c>
      <c r="Y67" s="211" t="s">
        <v>1179</v>
      </c>
      <c r="Z67" s="175"/>
      <c r="AA67" s="176"/>
      <c r="AB67" s="177"/>
      <c r="AC67" s="220" t="s">
        <v>1253</v>
      </c>
      <c r="AD67" s="205"/>
      <c r="AE67" s="204"/>
      <c r="AF67" s="204"/>
      <c r="AG67" s="204"/>
      <c r="AH67" s="204"/>
      <c r="AI67" s="204"/>
      <c r="AJ67" s="204"/>
      <c r="AK67" s="204"/>
      <c r="AL67" s="204"/>
      <c r="AM67" s="204"/>
      <c r="AN67" s="204"/>
      <c r="AO67" s="204"/>
      <c r="AP67" s="204"/>
      <c r="AQ67" s="204"/>
      <c r="AR67" s="204"/>
      <c r="AS67" s="204"/>
      <c r="AT67" s="204"/>
      <c r="AU67" s="204"/>
      <c r="AV67" s="204"/>
      <c r="AW67" s="204"/>
      <c r="AX67" s="204"/>
      <c r="AY67" s="204"/>
      <c r="AZ67" s="204"/>
      <c r="BA67" s="204"/>
      <c r="BB67" s="204"/>
      <c r="BC67" s="204"/>
      <c r="BD67" s="204"/>
      <c r="BE67" s="204"/>
      <c r="BF67" s="204"/>
      <c r="BG67" s="204"/>
      <c r="BH67" s="204"/>
      <c r="BI67" s="204"/>
      <c r="BJ67" s="204"/>
      <c r="BK67" s="204"/>
      <c r="BL67" s="204"/>
      <c r="BM67" s="204"/>
      <c r="BN67" s="204"/>
      <c r="BO67" s="204"/>
      <c r="BP67" s="204"/>
      <c r="BQ67" s="204"/>
      <c r="BR67" s="204"/>
      <c r="BS67" s="204"/>
      <c r="BT67" s="204"/>
      <c r="BU67" s="204"/>
      <c r="BV67" s="204"/>
      <c r="BW67" s="204"/>
      <c r="BX67" s="204"/>
      <c r="BY67" s="204"/>
      <c r="BZ67" s="204"/>
      <c r="CA67" s="204"/>
      <c r="CB67" s="204"/>
      <c r="CC67" s="204"/>
      <c r="CD67" s="204"/>
      <c r="CE67" s="204"/>
      <c r="CF67" s="204"/>
      <c r="CG67" s="204"/>
      <c r="CH67" s="204"/>
      <c r="CI67" s="204"/>
      <c r="CJ67" s="204"/>
      <c r="CK67" s="204"/>
      <c r="CL67" s="204"/>
      <c r="CM67" s="204"/>
      <c r="CN67" s="204"/>
      <c r="CO67" s="204"/>
      <c r="CP67" s="204"/>
      <c r="CQ67" s="204"/>
      <c r="CR67" s="204"/>
      <c r="CS67" s="204"/>
      <c r="CT67" s="204"/>
      <c r="CU67" s="204"/>
      <c r="CV67" s="204"/>
      <c r="CW67" s="204"/>
      <c r="CX67" s="204"/>
      <c r="CY67" s="204"/>
      <c r="CZ67" s="204"/>
      <c r="DA67" s="204"/>
      <c r="DB67" s="204"/>
      <c r="DC67" s="204"/>
      <c r="DD67" s="204"/>
      <c r="DE67" s="204"/>
      <c r="DF67" s="204"/>
      <c r="DG67" s="204"/>
      <c r="DH67" s="204"/>
      <c r="DI67" s="204"/>
      <c r="DJ67" s="204"/>
      <c r="DK67" s="204"/>
      <c r="DL67" s="204"/>
      <c r="DM67" s="204"/>
      <c r="DN67" s="204"/>
      <c r="DO67" s="204"/>
      <c r="DP67" s="204"/>
      <c r="DQ67" s="204"/>
      <c r="DR67" s="204"/>
      <c r="DS67" s="204"/>
      <c r="DT67" s="204"/>
      <c r="DU67" s="204"/>
      <c r="DV67" s="204"/>
      <c r="DW67" s="204"/>
      <c r="DX67" s="204"/>
      <c r="DY67" s="204"/>
      <c r="DZ67" s="204"/>
      <c r="EA67" s="204"/>
      <c r="EB67" s="204"/>
      <c r="EC67" s="204"/>
      <c r="ED67" s="204"/>
      <c r="EE67" s="204"/>
      <c r="EF67" s="204"/>
      <c r="EG67" s="204"/>
      <c r="EH67" s="204"/>
      <c r="EI67" s="204"/>
      <c r="EJ67" s="204"/>
      <c r="EK67" s="204"/>
      <c r="EL67" s="204"/>
      <c r="EM67" s="194"/>
      <c r="EN67" s="204"/>
      <c r="EO67" s="204"/>
      <c r="EP67" s="204"/>
      <c r="EQ67" s="204"/>
      <c r="ER67" s="204"/>
      <c r="ES67" s="204"/>
      <c r="ET67" s="204"/>
      <c r="EU67" s="204"/>
      <c r="EV67" s="204"/>
      <c r="EW67" s="204"/>
      <c r="EX67" s="204"/>
      <c r="EY67" s="204"/>
      <c r="EZ67" s="204"/>
      <c r="FA67" s="204"/>
      <c r="FB67" s="204"/>
      <c r="FC67" s="204"/>
      <c r="FD67" s="204"/>
      <c r="FE67" s="204"/>
      <c r="FF67" s="204"/>
      <c r="FG67" s="204"/>
      <c r="FH67" s="204"/>
      <c r="FI67" s="204"/>
      <c r="FJ67" s="204"/>
      <c r="FK67" s="204"/>
      <c r="FL67" s="204"/>
      <c r="FM67" s="204"/>
      <c r="FN67" s="204"/>
      <c r="FO67" s="204"/>
      <c r="FP67" s="204"/>
      <c r="FQ67" s="204"/>
      <c r="FR67" s="204"/>
      <c r="FS67" s="204"/>
      <c r="FT67" s="204"/>
      <c r="FU67" s="204"/>
      <c r="FV67" s="204"/>
      <c r="FW67" s="204"/>
      <c r="FX67" s="204"/>
      <c r="FY67" s="204"/>
      <c r="FZ67" s="204"/>
      <c r="GA67" s="204"/>
      <c r="GB67" s="204"/>
      <c r="GC67" s="204"/>
      <c r="GD67" s="204"/>
      <c r="GE67" s="204"/>
      <c r="GF67" s="204"/>
      <c r="GG67" s="204"/>
      <c r="GH67" s="204"/>
      <c r="GI67" s="204"/>
      <c r="GJ67" s="204"/>
      <c r="GK67" s="204"/>
      <c r="GL67" s="204"/>
      <c r="GM67" s="204"/>
      <c r="GN67" s="204"/>
      <c r="GO67" s="204"/>
      <c r="GP67" s="204"/>
      <c r="GQ67" s="204"/>
      <c r="GR67" s="204"/>
      <c r="GS67" s="204"/>
      <c r="GT67" s="204"/>
      <c r="GU67" s="204"/>
      <c r="GV67" s="204"/>
      <c r="GW67" s="204"/>
      <c r="GX67" s="204"/>
      <c r="GY67" s="204"/>
      <c r="GZ67" s="204"/>
      <c r="HA67" s="204"/>
      <c r="HB67" s="204"/>
      <c r="HC67" s="204"/>
      <c r="HD67" s="204"/>
      <c r="HE67" s="204"/>
      <c r="HF67" s="204"/>
      <c r="HG67" s="204"/>
      <c r="HH67" s="204"/>
      <c r="HI67" s="204"/>
      <c r="HJ67" s="204"/>
      <c r="HK67" s="204"/>
      <c r="HL67" s="204"/>
      <c r="HM67" s="204"/>
      <c r="HN67" s="204"/>
      <c r="HO67" s="204"/>
      <c r="HP67" s="204"/>
      <c r="HQ67" s="204"/>
    </row>
    <row r="68" spans="1:225" ht="13.2">
      <c r="A68" s="168"/>
      <c r="B68" s="168"/>
      <c r="C68" s="168"/>
      <c r="D68" s="178"/>
      <c r="E68" s="169"/>
      <c r="F68" s="169"/>
      <c r="G68" s="169"/>
      <c r="H68" s="169"/>
      <c r="I68" s="210"/>
      <c r="J68" s="169" t="s">
        <v>1207</v>
      </c>
      <c r="K68" s="169"/>
      <c r="L68" s="169"/>
      <c r="M68" s="146">
        <v>43554</v>
      </c>
      <c r="N68" s="146">
        <v>43560</v>
      </c>
      <c r="O68" s="169"/>
      <c r="P68" s="170">
        <v>8</v>
      </c>
      <c r="Q68" s="170">
        <v>0</v>
      </c>
      <c r="R68" s="171"/>
      <c r="S68" s="171"/>
      <c r="T68" s="146"/>
      <c r="U68" s="146"/>
      <c r="V68" s="172"/>
      <c r="W68" s="173"/>
      <c r="X68" s="174">
        <v>1</v>
      </c>
      <c r="Y68" s="211" t="s">
        <v>1179</v>
      </c>
      <c r="Z68" s="175"/>
      <c r="AA68" s="176"/>
      <c r="AB68" s="177"/>
      <c r="AC68" s="220" t="s">
        <v>1254</v>
      </c>
      <c r="AD68" s="205"/>
      <c r="AE68" s="204"/>
      <c r="AF68" s="204"/>
      <c r="AG68" s="204"/>
      <c r="AH68" s="204"/>
      <c r="AI68" s="204"/>
      <c r="AJ68" s="204"/>
      <c r="AK68" s="204"/>
      <c r="AL68" s="204"/>
      <c r="AM68" s="204"/>
      <c r="AN68" s="204"/>
      <c r="AO68" s="204"/>
      <c r="AP68" s="204"/>
      <c r="AQ68" s="204"/>
      <c r="AR68" s="204"/>
      <c r="AS68" s="204"/>
      <c r="AT68" s="204"/>
      <c r="AU68" s="204"/>
      <c r="AV68" s="204"/>
      <c r="AW68" s="204"/>
      <c r="AX68" s="204"/>
      <c r="AY68" s="204"/>
      <c r="AZ68" s="204"/>
      <c r="BA68" s="204"/>
      <c r="BB68" s="204"/>
      <c r="BC68" s="204"/>
      <c r="BD68" s="204"/>
      <c r="BE68" s="204"/>
      <c r="BF68" s="204"/>
      <c r="BG68" s="204"/>
      <c r="BH68" s="204"/>
      <c r="BI68" s="204"/>
      <c r="BJ68" s="204"/>
      <c r="BK68" s="204"/>
      <c r="BL68" s="204"/>
      <c r="BM68" s="204"/>
      <c r="BN68" s="204"/>
      <c r="BO68" s="204"/>
      <c r="BP68" s="204"/>
      <c r="BQ68" s="204"/>
      <c r="BR68" s="204"/>
      <c r="BS68" s="204"/>
      <c r="BT68" s="204"/>
      <c r="BU68" s="204"/>
      <c r="BV68" s="204"/>
      <c r="BW68" s="204"/>
      <c r="BX68" s="204"/>
      <c r="BY68" s="204"/>
      <c r="BZ68" s="204"/>
      <c r="CA68" s="204"/>
      <c r="CB68" s="204"/>
      <c r="CC68" s="204"/>
      <c r="CD68" s="204"/>
      <c r="CE68" s="204"/>
      <c r="CF68" s="204"/>
      <c r="CG68" s="204"/>
      <c r="CH68" s="204"/>
      <c r="CI68" s="204"/>
      <c r="CJ68" s="204"/>
      <c r="CK68" s="204"/>
      <c r="CL68" s="204"/>
      <c r="CM68" s="204"/>
      <c r="CN68" s="204"/>
      <c r="CO68" s="204"/>
      <c r="CP68" s="204"/>
      <c r="CQ68" s="204"/>
      <c r="CR68" s="204"/>
      <c r="CS68" s="204"/>
      <c r="CT68" s="204"/>
      <c r="CU68" s="204"/>
      <c r="CV68" s="204"/>
      <c r="CW68" s="204"/>
      <c r="CX68" s="204"/>
      <c r="CY68" s="204"/>
      <c r="CZ68" s="204"/>
      <c r="DA68" s="204"/>
      <c r="DB68" s="204"/>
      <c r="DC68" s="204"/>
      <c r="DD68" s="204"/>
      <c r="DE68" s="204"/>
      <c r="DF68" s="204"/>
      <c r="DG68" s="204"/>
      <c r="DH68" s="204"/>
      <c r="DI68" s="204"/>
      <c r="DJ68" s="204"/>
      <c r="DK68" s="204"/>
      <c r="DL68" s="204"/>
      <c r="DM68" s="204"/>
      <c r="DN68" s="204"/>
      <c r="DO68" s="204"/>
      <c r="DP68" s="204"/>
      <c r="DQ68" s="204"/>
      <c r="DR68" s="204"/>
      <c r="DS68" s="204"/>
      <c r="DT68" s="204"/>
      <c r="DU68" s="204"/>
      <c r="DV68" s="204"/>
      <c r="DW68" s="204"/>
      <c r="DX68" s="204"/>
      <c r="DY68" s="204"/>
      <c r="DZ68" s="204"/>
      <c r="EA68" s="204"/>
      <c r="EB68" s="204"/>
      <c r="EC68" s="204"/>
      <c r="ED68" s="204"/>
      <c r="EE68" s="204"/>
      <c r="EF68" s="204"/>
      <c r="EG68" s="204"/>
      <c r="EH68" s="204"/>
      <c r="EI68" s="204"/>
      <c r="EJ68" s="204"/>
      <c r="EK68" s="204"/>
      <c r="EL68" s="204"/>
      <c r="EM68" s="194"/>
      <c r="EN68" s="204"/>
      <c r="EO68" s="204"/>
      <c r="EP68" s="204"/>
      <c r="EQ68" s="204"/>
      <c r="ER68" s="204"/>
      <c r="ES68" s="204"/>
      <c r="ET68" s="204"/>
      <c r="EU68" s="204"/>
      <c r="EV68" s="204"/>
      <c r="EW68" s="204"/>
      <c r="EX68" s="204"/>
      <c r="EY68" s="204"/>
      <c r="EZ68" s="204"/>
      <c r="FA68" s="204"/>
      <c r="FB68" s="204"/>
      <c r="FC68" s="204"/>
      <c r="FD68" s="204"/>
      <c r="FE68" s="204"/>
      <c r="FF68" s="204"/>
      <c r="FG68" s="204"/>
      <c r="FH68" s="204"/>
      <c r="FI68" s="204"/>
      <c r="FJ68" s="204"/>
      <c r="FK68" s="204"/>
      <c r="FL68" s="204"/>
      <c r="FM68" s="204"/>
      <c r="FN68" s="204"/>
      <c r="FO68" s="204"/>
      <c r="FP68" s="204"/>
      <c r="FQ68" s="204"/>
      <c r="FR68" s="204"/>
      <c r="FS68" s="204"/>
      <c r="FT68" s="204"/>
      <c r="FU68" s="204"/>
      <c r="FV68" s="204"/>
      <c r="FW68" s="204"/>
      <c r="FX68" s="204"/>
      <c r="FY68" s="204"/>
      <c r="FZ68" s="204"/>
      <c r="GA68" s="204"/>
      <c r="GB68" s="204"/>
      <c r="GC68" s="204"/>
      <c r="GD68" s="204"/>
      <c r="GE68" s="204"/>
      <c r="GF68" s="204"/>
      <c r="GG68" s="204"/>
      <c r="GH68" s="204"/>
      <c r="GI68" s="204"/>
      <c r="GJ68" s="204"/>
      <c r="GK68" s="204"/>
      <c r="GL68" s="204"/>
      <c r="GM68" s="204"/>
      <c r="GN68" s="204"/>
      <c r="GO68" s="204"/>
      <c r="GP68" s="204"/>
      <c r="GQ68" s="204"/>
      <c r="GR68" s="204"/>
      <c r="GS68" s="204"/>
      <c r="GT68" s="204"/>
      <c r="GU68" s="204"/>
      <c r="GV68" s="204"/>
      <c r="GW68" s="204"/>
      <c r="GX68" s="204"/>
      <c r="GY68" s="204"/>
      <c r="GZ68" s="204"/>
      <c r="HA68" s="204"/>
      <c r="HB68" s="204"/>
      <c r="HC68" s="204"/>
      <c r="HD68" s="204"/>
      <c r="HE68" s="204"/>
      <c r="HF68" s="204"/>
      <c r="HG68" s="204"/>
      <c r="HH68" s="204"/>
      <c r="HI68" s="204"/>
      <c r="HJ68" s="204"/>
      <c r="HK68" s="204"/>
      <c r="HL68" s="204"/>
      <c r="HM68" s="204"/>
      <c r="HN68" s="204"/>
      <c r="HO68" s="204"/>
      <c r="HP68" s="204"/>
      <c r="HQ68" s="204"/>
    </row>
    <row r="69" spans="1:225" ht="13.2">
      <c r="A69" s="168"/>
      <c r="B69" s="168"/>
      <c r="C69" s="168"/>
      <c r="D69" s="178"/>
      <c r="E69" s="169"/>
      <c r="F69" s="169"/>
      <c r="G69" s="169"/>
      <c r="H69" s="169"/>
      <c r="I69" s="210"/>
      <c r="J69" s="214" t="s">
        <v>1208</v>
      </c>
      <c r="K69" s="169"/>
      <c r="L69" s="169"/>
      <c r="M69" s="146">
        <v>43560</v>
      </c>
      <c r="N69" s="146">
        <v>43568</v>
      </c>
      <c r="O69" s="169"/>
      <c r="P69" s="170">
        <v>8</v>
      </c>
      <c r="Q69" s="170">
        <v>0</v>
      </c>
      <c r="R69" s="171"/>
      <c r="S69" s="171"/>
      <c r="T69" s="146"/>
      <c r="U69" s="146"/>
      <c r="V69" s="172"/>
      <c r="W69" s="173"/>
      <c r="X69" s="174">
        <v>1</v>
      </c>
      <c r="Y69" s="211" t="s">
        <v>1179</v>
      </c>
      <c r="Z69" s="175"/>
      <c r="AA69" s="176"/>
      <c r="AB69" s="177"/>
      <c r="AD69" s="205"/>
      <c r="AE69" s="204"/>
      <c r="AF69" s="204"/>
      <c r="AG69" s="204"/>
      <c r="AH69" s="204"/>
      <c r="AI69" s="204"/>
      <c r="AJ69" s="204"/>
      <c r="AK69" s="204"/>
      <c r="AL69" s="204"/>
      <c r="AM69" s="204"/>
      <c r="AN69" s="204"/>
      <c r="AO69" s="204"/>
      <c r="AP69" s="204"/>
      <c r="AQ69" s="204"/>
      <c r="AR69" s="204"/>
      <c r="AS69" s="204"/>
      <c r="AT69" s="204"/>
      <c r="AU69" s="204"/>
      <c r="AV69" s="204"/>
      <c r="AW69" s="204"/>
      <c r="AX69" s="204"/>
      <c r="AY69" s="204"/>
      <c r="AZ69" s="204"/>
      <c r="BA69" s="204"/>
      <c r="BB69" s="204"/>
      <c r="BC69" s="204"/>
      <c r="BD69" s="204"/>
      <c r="BE69" s="204"/>
      <c r="BF69" s="204"/>
      <c r="BG69" s="204"/>
      <c r="BH69" s="204"/>
      <c r="BI69" s="204"/>
      <c r="BJ69" s="204"/>
      <c r="BK69" s="204"/>
      <c r="BL69" s="204"/>
      <c r="BM69" s="204"/>
      <c r="BN69" s="204"/>
      <c r="BO69" s="204"/>
      <c r="BP69" s="204"/>
      <c r="BQ69" s="204"/>
      <c r="BR69" s="204"/>
      <c r="BS69" s="204"/>
      <c r="BT69" s="204"/>
      <c r="BU69" s="204"/>
      <c r="BV69" s="204"/>
      <c r="BW69" s="204"/>
      <c r="BX69" s="204"/>
      <c r="BY69" s="204"/>
      <c r="BZ69" s="204"/>
      <c r="CA69" s="204"/>
      <c r="CB69" s="204"/>
      <c r="CC69" s="204"/>
      <c r="CD69" s="204"/>
      <c r="CE69" s="204"/>
      <c r="CF69" s="204"/>
      <c r="CG69" s="204"/>
      <c r="CH69" s="204"/>
      <c r="CI69" s="204"/>
      <c r="CJ69" s="204"/>
      <c r="CK69" s="204"/>
      <c r="CL69" s="204"/>
      <c r="CM69" s="204"/>
      <c r="CN69" s="204"/>
      <c r="CO69" s="204"/>
      <c r="CP69" s="204"/>
      <c r="CQ69" s="204"/>
      <c r="CR69" s="204"/>
      <c r="CS69" s="204"/>
      <c r="CT69" s="204"/>
      <c r="CU69" s="204"/>
      <c r="CV69" s="204"/>
      <c r="CW69" s="204"/>
      <c r="CX69" s="204"/>
      <c r="CY69" s="204"/>
      <c r="CZ69" s="204"/>
      <c r="DA69" s="204"/>
      <c r="DB69" s="204"/>
      <c r="DC69" s="204"/>
      <c r="DD69" s="204"/>
      <c r="DE69" s="204"/>
      <c r="DF69" s="204"/>
      <c r="DG69" s="204"/>
      <c r="DH69" s="204"/>
      <c r="DI69" s="204"/>
      <c r="DJ69" s="204"/>
      <c r="DK69" s="204"/>
      <c r="DL69" s="204"/>
      <c r="DM69" s="204"/>
      <c r="DN69" s="204"/>
      <c r="DO69" s="204"/>
      <c r="DP69" s="204"/>
      <c r="DQ69" s="204"/>
      <c r="DR69" s="204"/>
      <c r="DS69" s="204"/>
      <c r="DT69" s="204"/>
      <c r="DU69" s="204"/>
      <c r="DV69" s="204"/>
      <c r="DW69" s="204"/>
      <c r="DX69" s="204"/>
      <c r="DY69" s="204"/>
      <c r="DZ69" s="204"/>
      <c r="EA69" s="204"/>
      <c r="EB69" s="204"/>
      <c r="EC69" s="204"/>
      <c r="ED69" s="204"/>
      <c r="EE69" s="204"/>
      <c r="EF69" s="204"/>
      <c r="EG69" s="204"/>
      <c r="EH69" s="204"/>
      <c r="EI69" s="204"/>
      <c r="EJ69" s="204"/>
      <c r="EK69" s="204"/>
      <c r="EL69" s="204"/>
      <c r="EM69" s="194"/>
      <c r="EN69" s="204"/>
      <c r="EO69" s="204"/>
      <c r="EP69" s="204"/>
      <c r="EQ69" s="204"/>
      <c r="ER69" s="204"/>
      <c r="ES69" s="204"/>
      <c r="ET69" s="204"/>
      <c r="EU69" s="204"/>
      <c r="EV69" s="204"/>
      <c r="EW69" s="204"/>
      <c r="EX69" s="204"/>
      <c r="EY69" s="204"/>
      <c r="EZ69" s="204"/>
      <c r="FA69" s="204"/>
      <c r="FB69" s="204"/>
      <c r="FC69" s="204"/>
      <c r="FD69" s="204"/>
      <c r="FE69" s="204"/>
      <c r="FF69" s="204"/>
      <c r="FG69" s="204"/>
      <c r="FH69" s="204"/>
      <c r="FI69" s="204"/>
      <c r="FJ69" s="204"/>
      <c r="FK69" s="204"/>
      <c r="FL69" s="204"/>
      <c r="FM69" s="204"/>
      <c r="FN69" s="204"/>
      <c r="FO69" s="204"/>
      <c r="FP69" s="204"/>
      <c r="FQ69" s="204"/>
      <c r="FR69" s="204"/>
      <c r="FS69" s="204"/>
      <c r="FT69" s="204"/>
      <c r="FU69" s="204"/>
      <c r="FV69" s="204"/>
      <c r="FW69" s="204"/>
      <c r="FX69" s="204"/>
      <c r="FY69" s="204"/>
      <c r="FZ69" s="204"/>
      <c r="GA69" s="204"/>
      <c r="GB69" s="204"/>
      <c r="GC69" s="204"/>
      <c r="GD69" s="204"/>
      <c r="GE69" s="204"/>
      <c r="GF69" s="204"/>
      <c r="GG69" s="204"/>
      <c r="GH69" s="204"/>
      <c r="GI69" s="204"/>
      <c r="GJ69" s="204"/>
      <c r="GK69" s="204"/>
      <c r="GL69" s="204"/>
      <c r="GM69" s="204"/>
      <c r="GN69" s="204"/>
      <c r="GO69" s="204"/>
      <c r="GP69" s="204"/>
      <c r="GQ69" s="204"/>
      <c r="GR69" s="204"/>
      <c r="GS69" s="204"/>
      <c r="GT69" s="204"/>
      <c r="GU69" s="204"/>
      <c r="GV69" s="204"/>
      <c r="GW69" s="204"/>
      <c r="GX69" s="204"/>
      <c r="GY69" s="204"/>
      <c r="GZ69" s="204"/>
      <c r="HA69" s="204"/>
      <c r="HB69" s="204"/>
      <c r="HC69" s="204"/>
      <c r="HD69" s="204"/>
      <c r="HE69" s="204"/>
      <c r="HF69" s="204"/>
      <c r="HG69" s="204"/>
      <c r="HH69" s="204"/>
      <c r="HI69" s="204"/>
      <c r="HJ69" s="204"/>
      <c r="HK69" s="204"/>
      <c r="HL69" s="204"/>
      <c r="HM69" s="204"/>
      <c r="HN69" s="204"/>
      <c r="HO69" s="204"/>
      <c r="HP69" s="204"/>
      <c r="HQ69" s="204"/>
    </row>
    <row r="70" spans="1:225" ht="13.2">
      <c r="A70" s="168"/>
      <c r="B70" s="168"/>
      <c r="C70" s="168"/>
      <c r="D70" s="178"/>
      <c r="E70" s="169"/>
      <c r="F70" s="169"/>
      <c r="G70" s="169"/>
      <c r="H70" s="169"/>
      <c r="I70" s="210"/>
      <c r="J70" s="214" t="s">
        <v>1209</v>
      </c>
      <c r="K70" s="169"/>
      <c r="L70" s="169"/>
      <c r="M70" s="146">
        <v>43568</v>
      </c>
      <c r="N70" s="146">
        <v>43573</v>
      </c>
      <c r="O70" s="169"/>
      <c r="P70" s="170">
        <v>8</v>
      </c>
      <c r="Q70" s="170">
        <v>0</v>
      </c>
      <c r="R70" s="171"/>
      <c r="S70" s="171"/>
      <c r="T70" s="146"/>
      <c r="U70" s="146"/>
      <c r="V70" s="172"/>
      <c r="W70" s="173"/>
      <c r="X70" s="174">
        <v>1</v>
      </c>
      <c r="Y70" s="211" t="s">
        <v>1179</v>
      </c>
      <c r="Z70" s="175"/>
      <c r="AA70" s="176"/>
      <c r="AB70" s="177"/>
      <c r="AC70" s="220" t="s">
        <v>1255</v>
      </c>
      <c r="AD70" s="205"/>
      <c r="AE70" s="204"/>
      <c r="AF70" s="204"/>
      <c r="AG70" s="204"/>
      <c r="AH70" s="204"/>
      <c r="AI70" s="204"/>
      <c r="AJ70" s="204"/>
      <c r="AK70" s="204"/>
      <c r="AL70" s="204"/>
      <c r="AM70" s="204"/>
      <c r="AN70" s="204"/>
      <c r="AO70" s="204"/>
      <c r="AP70" s="204"/>
      <c r="AQ70" s="204"/>
      <c r="AR70" s="204"/>
      <c r="AS70" s="204"/>
      <c r="AT70" s="204"/>
      <c r="AU70" s="204"/>
      <c r="AV70" s="204"/>
      <c r="AW70" s="204"/>
      <c r="AX70" s="204"/>
      <c r="AY70" s="204"/>
      <c r="AZ70" s="204"/>
      <c r="BA70" s="204"/>
      <c r="BB70" s="204"/>
      <c r="BC70" s="204"/>
      <c r="BD70" s="204"/>
      <c r="BE70" s="204"/>
      <c r="BF70" s="204"/>
      <c r="BG70" s="204"/>
      <c r="BH70" s="204"/>
      <c r="BI70" s="204"/>
      <c r="BJ70" s="204"/>
      <c r="BK70" s="204"/>
      <c r="BL70" s="204"/>
      <c r="BM70" s="204"/>
      <c r="BN70" s="204"/>
      <c r="BO70" s="204"/>
      <c r="BP70" s="204"/>
      <c r="BQ70" s="204"/>
      <c r="BR70" s="204"/>
      <c r="BS70" s="204"/>
      <c r="BT70" s="204"/>
      <c r="BU70" s="204"/>
      <c r="BV70" s="204"/>
      <c r="BW70" s="204"/>
      <c r="BX70" s="204"/>
      <c r="BY70" s="204"/>
      <c r="BZ70" s="204"/>
      <c r="CA70" s="204"/>
      <c r="CB70" s="204"/>
      <c r="CC70" s="204"/>
      <c r="CD70" s="204"/>
      <c r="CE70" s="204"/>
      <c r="CF70" s="204"/>
      <c r="CG70" s="204"/>
      <c r="CH70" s="204"/>
      <c r="CI70" s="204"/>
      <c r="CJ70" s="204"/>
      <c r="CK70" s="204"/>
      <c r="CL70" s="204"/>
      <c r="CM70" s="204"/>
      <c r="CN70" s="204"/>
      <c r="CO70" s="204"/>
      <c r="CP70" s="204"/>
      <c r="CQ70" s="204"/>
      <c r="CR70" s="204"/>
      <c r="CS70" s="204"/>
      <c r="CT70" s="204"/>
      <c r="CU70" s="204"/>
      <c r="CV70" s="204"/>
      <c r="CW70" s="204"/>
      <c r="CX70" s="204"/>
      <c r="CY70" s="204"/>
      <c r="CZ70" s="204"/>
      <c r="DA70" s="204"/>
      <c r="DB70" s="204"/>
      <c r="DC70" s="204"/>
      <c r="DD70" s="204"/>
      <c r="DE70" s="204"/>
      <c r="DF70" s="204"/>
      <c r="DG70" s="204"/>
      <c r="DH70" s="204"/>
      <c r="DI70" s="204"/>
      <c r="DJ70" s="204"/>
      <c r="DK70" s="204"/>
      <c r="DL70" s="204"/>
      <c r="DM70" s="204"/>
      <c r="DN70" s="204"/>
      <c r="DO70" s="204"/>
      <c r="DP70" s="204"/>
      <c r="DQ70" s="204"/>
      <c r="DR70" s="204"/>
      <c r="DS70" s="204"/>
      <c r="DT70" s="204"/>
      <c r="DU70" s="204"/>
      <c r="DV70" s="204"/>
      <c r="DW70" s="204"/>
      <c r="DX70" s="204"/>
      <c r="DY70" s="204"/>
      <c r="DZ70" s="204"/>
      <c r="EA70" s="204"/>
      <c r="EB70" s="204"/>
      <c r="EC70" s="204"/>
      <c r="ED70" s="204"/>
      <c r="EE70" s="204"/>
      <c r="EF70" s="204"/>
      <c r="EG70" s="204"/>
      <c r="EH70" s="204"/>
      <c r="EI70" s="204"/>
      <c r="EJ70" s="204"/>
      <c r="EK70" s="204"/>
      <c r="EL70" s="204"/>
      <c r="EM70" s="194"/>
      <c r="EN70" s="204"/>
      <c r="EO70" s="204"/>
      <c r="EP70" s="204"/>
      <c r="EQ70" s="204"/>
      <c r="ER70" s="204"/>
      <c r="ES70" s="204"/>
      <c r="ET70" s="204"/>
      <c r="EU70" s="204"/>
      <c r="EV70" s="204"/>
      <c r="EW70" s="204"/>
      <c r="EX70" s="204"/>
      <c r="EY70" s="204"/>
      <c r="EZ70" s="204"/>
      <c r="FA70" s="204"/>
      <c r="FB70" s="204"/>
      <c r="FC70" s="204"/>
      <c r="FD70" s="204"/>
      <c r="FE70" s="204"/>
      <c r="FF70" s="204"/>
      <c r="FG70" s="204"/>
      <c r="FH70" s="204"/>
      <c r="FI70" s="204"/>
      <c r="FJ70" s="204"/>
      <c r="FK70" s="204"/>
      <c r="FL70" s="204"/>
      <c r="FM70" s="204"/>
      <c r="FN70" s="204"/>
      <c r="FO70" s="204"/>
      <c r="FP70" s="204"/>
      <c r="FQ70" s="204"/>
      <c r="FR70" s="204"/>
      <c r="FS70" s="204"/>
      <c r="FT70" s="204"/>
      <c r="FU70" s="204"/>
      <c r="FV70" s="204"/>
      <c r="FW70" s="204"/>
      <c r="FX70" s="204"/>
      <c r="FY70" s="204"/>
      <c r="FZ70" s="204"/>
      <c r="GA70" s="204"/>
      <c r="GB70" s="204"/>
      <c r="GC70" s="204"/>
      <c r="GD70" s="204"/>
      <c r="GE70" s="204"/>
      <c r="GF70" s="204"/>
      <c r="GG70" s="204"/>
      <c r="GH70" s="204"/>
      <c r="GI70" s="204"/>
      <c r="GJ70" s="204"/>
      <c r="GK70" s="204"/>
      <c r="GL70" s="204"/>
      <c r="GM70" s="204"/>
      <c r="GN70" s="204"/>
      <c r="GO70" s="204"/>
      <c r="GP70" s="204"/>
      <c r="GQ70" s="204"/>
      <c r="GR70" s="204"/>
      <c r="GS70" s="204"/>
      <c r="GT70" s="204"/>
      <c r="GU70" s="204"/>
      <c r="GV70" s="204"/>
      <c r="GW70" s="204"/>
      <c r="GX70" s="204"/>
      <c r="GY70" s="204"/>
      <c r="GZ70" s="204"/>
      <c r="HA70" s="204"/>
      <c r="HB70" s="204"/>
      <c r="HC70" s="204"/>
      <c r="HD70" s="204"/>
      <c r="HE70" s="204"/>
      <c r="HF70" s="204"/>
      <c r="HG70" s="204"/>
      <c r="HH70" s="204"/>
      <c r="HI70" s="204"/>
      <c r="HJ70" s="204"/>
      <c r="HK70" s="204"/>
      <c r="HL70" s="204"/>
      <c r="HM70" s="204"/>
      <c r="HN70" s="204"/>
      <c r="HO70" s="204"/>
      <c r="HP70" s="204"/>
      <c r="HQ70" s="204"/>
    </row>
    <row r="71" spans="1:225" ht="13.2">
      <c r="A71" s="168"/>
      <c r="B71" s="168"/>
      <c r="C71" s="168"/>
      <c r="D71" s="178"/>
      <c r="E71" s="169"/>
      <c r="F71" s="169"/>
      <c r="G71" s="169"/>
      <c r="H71" s="169"/>
      <c r="I71" s="210"/>
      <c r="J71" s="214" t="s">
        <v>1210</v>
      </c>
      <c r="K71" s="169"/>
      <c r="L71" s="169"/>
      <c r="M71" s="146">
        <v>43573</v>
      </c>
      <c r="N71" s="146">
        <v>43586</v>
      </c>
      <c r="O71" s="169"/>
      <c r="P71" s="170">
        <v>10</v>
      </c>
      <c r="Q71" s="170">
        <v>0</v>
      </c>
      <c r="R71" s="171"/>
      <c r="S71" s="171"/>
      <c r="T71" s="146"/>
      <c r="U71" s="146"/>
      <c r="V71" s="172"/>
      <c r="W71" s="173"/>
      <c r="X71" s="174">
        <v>1</v>
      </c>
      <c r="Y71" s="211" t="s">
        <v>1179</v>
      </c>
      <c r="Z71" s="175"/>
      <c r="AA71" s="176"/>
      <c r="AB71" s="177"/>
      <c r="AD71" s="205"/>
      <c r="AE71" s="204"/>
      <c r="AF71" s="204"/>
      <c r="AG71" s="204"/>
      <c r="AH71" s="204"/>
      <c r="AI71" s="204"/>
      <c r="AJ71" s="204"/>
      <c r="AK71" s="204"/>
      <c r="AL71" s="204"/>
      <c r="AM71" s="204"/>
      <c r="AN71" s="204"/>
      <c r="AO71" s="204"/>
      <c r="AP71" s="204"/>
      <c r="AQ71" s="204"/>
      <c r="AR71" s="204"/>
      <c r="AS71" s="204"/>
      <c r="AT71" s="204"/>
      <c r="AU71" s="204"/>
      <c r="AV71" s="204"/>
      <c r="AW71" s="204"/>
      <c r="AX71" s="204"/>
      <c r="AY71" s="204"/>
      <c r="AZ71" s="204"/>
      <c r="BA71" s="204"/>
      <c r="BB71" s="204"/>
      <c r="BC71" s="204"/>
      <c r="BD71" s="204"/>
      <c r="BE71" s="204"/>
      <c r="BF71" s="204"/>
      <c r="BG71" s="204"/>
      <c r="BH71" s="204"/>
      <c r="BI71" s="204"/>
      <c r="BJ71" s="204"/>
      <c r="BK71" s="204"/>
      <c r="BL71" s="204"/>
      <c r="BM71" s="204"/>
      <c r="BN71" s="204"/>
      <c r="BO71" s="204"/>
      <c r="BP71" s="204"/>
      <c r="BQ71" s="204"/>
      <c r="BR71" s="204"/>
      <c r="BS71" s="204"/>
      <c r="BT71" s="204"/>
      <c r="BU71" s="204"/>
      <c r="BV71" s="204"/>
      <c r="BW71" s="204"/>
      <c r="BX71" s="204"/>
      <c r="BY71" s="204"/>
      <c r="BZ71" s="204"/>
      <c r="CA71" s="204"/>
      <c r="CB71" s="204"/>
      <c r="CC71" s="204"/>
      <c r="CD71" s="204"/>
      <c r="CE71" s="204"/>
      <c r="CF71" s="204"/>
      <c r="CG71" s="204"/>
      <c r="CH71" s="204"/>
      <c r="CI71" s="204"/>
      <c r="CJ71" s="204"/>
      <c r="CK71" s="204"/>
      <c r="CL71" s="204"/>
      <c r="CM71" s="204"/>
      <c r="CN71" s="204"/>
      <c r="CO71" s="204"/>
      <c r="CP71" s="204"/>
      <c r="CQ71" s="204"/>
      <c r="CR71" s="204"/>
      <c r="CS71" s="204"/>
      <c r="CT71" s="204"/>
      <c r="CU71" s="204"/>
      <c r="CV71" s="204"/>
      <c r="CW71" s="204"/>
      <c r="CX71" s="204"/>
      <c r="CY71" s="204"/>
      <c r="CZ71" s="204"/>
      <c r="DA71" s="204"/>
      <c r="DB71" s="204"/>
      <c r="DC71" s="204"/>
      <c r="DD71" s="204"/>
      <c r="DE71" s="204"/>
      <c r="DF71" s="204"/>
      <c r="DG71" s="204"/>
      <c r="DH71" s="204"/>
      <c r="DI71" s="204"/>
      <c r="DJ71" s="204"/>
      <c r="DK71" s="204"/>
      <c r="DL71" s="204"/>
      <c r="DM71" s="204"/>
      <c r="DN71" s="204"/>
      <c r="DO71" s="204"/>
      <c r="DP71" s="204"/>
      <c r="DQ71" s="204"/>
      <c r="DR71" s="204"/>
      <c r="DS71" s="204"/>
      <c r="DT71" s="204"/>
      <c r="DU71" s="204"/>
      <c r="DV71" s="204"/>
      <c r="DW71" s="204"/>
      <c r="DX71" s="204"/>
      <c r="DY71" s="204"/>
      <c r="DZ71" s="204"/>
      <c r="EA71" s="204"/>
      <c r="EB71" s="204"/>
      <c r="EC71" s="204"/>
      <c r="ED71" s="204"/>
      <c r="EE71" s="204"/>
      <c r="EF71" s="204"/>
      <c r="EG71" s="204"/>
      <c r="EH71" s="204"/>
      <c r="EI71" s="204"/>
      <c r="EJ71" s="204"/>
      <c r="EK71" s="204"/>
      <c r="EL71" s="204"/>
      <c r="EM71" s="194"/>
      <c r="EN71" s="204"/>
      <c r="EO71" s="204"/>
      <c r="EP71" s="204"/>
      <c r="EQ71" s="204"/>
      <c r="ER71" s="204"/>
      <c r="ES71" s="204"/>
      <c r="ET71" s="204"/>
      <c r="EU71" s="204"/>
      <c r="EV71" s="204"/>
      <c r="EW71" s="204"/>
      <c r="EX71" s="204"/>
      <c r="EY71" s="204"/>
      <c r="EZ71" s="204"/>
      <c r="FA71" s="204"/>
      <c r="FB71" s="204"/>
      <c r="FC71" s="204"/>
      <c r="FD71" s="204"/>
      <c r="FE71" s="204"/>
      <c r="FF71" s="204"/>
      <c r="FG71" s="204"/>
      <c r="FH71" s="204"/>
      <c r="FI71" s="204"/>
      <c r="FJ71" s="204"/>
      <c r="FK71" s="204"/>
      <c r="FL71" s="204"/>
      <c r="FM71" s="204"/>
      <c r="FN71" s="204"/>
      <c r="FO71" s="204"/>
      <c r="FP71" s="204"/>
      <c r="FQ71" s="204"/>
      <c r="FR71" s="204"/>
      <c r="FS71" s="204"/>
      <c r="FT71" s="204"/>
      <c r="FU71" s="204"/>
      <c r="FV71" s="204"/>
      <c r="FW71" s="204"/>
      <c r="FX71" s="204"/>
      <c r="FY71" s="204"/>
      <c r="FZ71" s="204"/>
      <c r="GA71" s="204"/>
      <c r="GB71" s="204"/>
      <c r="GC71" s="204"/>
      <c r="GD71" s="204"/>
      <c r="GE71" s="204"/>
      <c r="GF71" s="204"/>
      <c r="GG71" s="204"/>
      <c r="GH71" s="204"/>
      <c r="GI71" s="204"/>
      <c r="GJ71" s="204"/>
      <c r="GK71" s="204"/>
      <c r="GL71" s="204"/>
      <c r="GM71" s="204"/>
      <c r="GN71" s="204"/>
      <c r="GO71" s="204"/>
      <c r="GP71" s="204"/>
      <c r="GQ71" s="204"/>
      <c r="GR71" s="204"/>
      <c r="GS71" s="204"/>
      <c r="GT71" s="204"/>
      <c r="GU71" s="204"/>
      <c r="GV71" s="204"/>
      <c r="GW71" s="204"/>
      <c r="GX71" s="204"/>
      <c r="GY71" s="204"/>
      <c r="GZ71" s="204"/>
      <c r="HA71" s="204"/>
      <c r="HB71" s="204"/>
      <c r="HC71" s="204"/>
      <c r="HD71" s="204"/>
      <c r="HE71" s="204"/>
      <c r="HF71" s="204"/>
      <c r="HG71" s="204"/>
      <c r="HH71" s="204"/>
      <c r="HI71" s="204"/>
      <c r="HJ71" s="204"/>
      <c r="HK71" s="204"/>
      <c r="HL71" s="204"/>
      <c r="HM71" s="204"/>
      <c r="HN71" s="204"/>
      <c r="HO71" s="204"/>
      <c r="HP71" s="204"/>
      <c r="HQ71" s="204"/>
    </row>
    <row r="72" spans="1:225" ht="13.2">
      <c r="A72" s="168"/>
      <c r="B72" s="168"/>
      <c r="C72" s="168"/>
      <c r="D72" s="178"/>
      <c r="E72" s="169"/>
      <c r="F72" s="169"/>
      <c r="G72" s="169"/>
      <c r="H72" s="169"/>
      <c r="I72" s="210"/>
      <c r="J72" s="214" t="s">
        <v>1211</v>
      </c>
      <c r="K72" s="169"/>
      <c r="L72" s="169"/>
      <c r="M72" s="146">
        <v>43586</v>
      </c>
      <c r="N72" s="146">
        <v>43595</v>
      </c>
      <c r="O72" s="169"/>
      <c r="P72" s="170">
        <v>8</v>
      </c>
      <c r="Q72" s="170">
        <v>0</v>
      </c>
      <c r="R72" s="171"/>
      <c r="S72" s="171"/>
      <c r="T72" s="146"/>
      <c r="U72" s="146"/>
      <c r="V72" s="172"/>
      <c r="W72" s="173"/>
      <c r="X72" s="174">
        <v>1</v>
      </c>
      <c r="Y72" s="211" t="s">
        <v>1179</v>
      </c>
      <c r="Z72" s="175"/>
      <c r="AA72" s="176"/>
      <c r="AB72" s="177"/>
      <c r="AD72" s="205"/>
      <c r="AE72" s="204"/>
      <c r="AF72" s="204"/>
      <c r="AG72" s="204"/>
      <c r="AH72" s="204"/>
      <c r="AI72" s="204"/>
      <c r="AJ72" s="204"/>
      <c r="AK72" s="204"/>
      <c r="AL72" s="204"/>
      <c r="AM72" s="204"/>
      <c r="AN72" s="204"/>
      <c r="AO72" s="204"/>
      <c r="AP72" s="204"/>
      <c r="AQ72" s="204"/>
      <c r="AR72" s="204"/>
      <c r="AS72" s="204"/>
      <c r="AT72" s="204"/>
      <c r="AU72" s="204"/>
      <c r="AV72" s="204"/>
      <c r="AW72" s="204"/>
      <c r="AX72" s="204"/>
      <c r="AY72" s="204"/>
      <c r="AZ72" s="204"/>
      <c r="BA72" s="204"/>
      <c r="BB72" s="204"/>
      <c r="BC72" s="204"/>
      <c r="BD72" s="204"/>
      <c r="BE72" s="204"/>
      <c r="BF72" s="204"/>
      <c r="BG72" s="204"/>
      <c r="BH72" s="204"/>
      <c r="BI72" s="204"/>
      <c r="BJ72" s="204"/>
      <c r="BK72" s="204"/>
      <c r="BL72" s="204"/>
      <c r="BM72" s="204"/>
      <c r="BN72" s="204"/>
      <c r="BO72" s="204"/>
      <c r="BP72" s="204"/>
      <c r="BQ72" s="204"/>
      <c r="BR72" s="204"/>
      <c r="BS72" s="204"/>
      <c r="BT72" s="204"/>
      <c r="BU72" s="204"/>
      <c r="BV72" s="204"/>
      <c r="BW72" s="204"/>
      <c r="BX72" s="204"/>
      <c r="BY72" s="204"/>
      <c r="BZ72" s="204"/>
      <c r="CA72" s="204"/>
      <c r="CB72" s="204"/>
      <c r="CC72" s="204"/>
      <c r="CD72" s="204"/>
      <c r="CE72" s="204"/>
      <c r="CF72" s="204"/>
      <c r="CG72" s="204"/>
      <c r="CH72" s="204"/>
      <c r="CI72" s="204"/>
      <c r="CJ72" s="204"/>
      <c r="CK72" s="204"/>
      <c r="CL72" s="204"/>
      <c r="CM72" s="204"/>
      <c r="CN72" s="204"/>
      <c r="CO72" s="204"/>
      <c r="CP72" s="204"/>
      <c r="CQ72" s="204"/>
      <c r="CR72" s="204"/>
      <c r="CS72" s="204"/>
      <c r="CT72" s="204"/>
      <c r="CU72" s="204"/>
      <c r="CV72" s="204"/>
      <c r="CW72" s="204"/>
      <c r="CX72" s="204"/>
      <c r="CY72" s="204"/>
      <c r="CZ72" s="204"/>
      <c r="DA72" s="204"/>
      <c r="DB72" s="204"/>
      <c r="DC72" s="204"/>
      <c r="DD72" s="204"/>
      <c r="DE72" s="204"/>
      <c r="DF72" s="204"/>
      <c r="DG72" s="204"/>
      <c r="DH72" s="204"/>
      <c r="DI72" s="204"/>
      <c r="DJ72" s="204"/>
      <c r="DK72" s="204"/>
      <c r="DL72" s="204"/>
      <c r="DM72" s="204"/>
      <c r="DN72" s="204"/>
      <c r="DO72" s="204"/>
      <c r="DP72" s="204"/>
      <c r="DQ72" s="204"/>
      <c r="DR72" s="204"/>
      <c r="DS72" s="204"/>
      <c r="DT72" s="204"/>
      <c r="DU72" s="204"/>
      <c r="DV72" s="204"/>
      <c r="DW72" s="204"/>
      <c r="DX72" s="204"/>
      <c r="DY72" s="204"/>
      <c r="DZ72" s="204"/>
      <c r="EA72" s="204"/>
      <c r="EB72" s="204"/>
      <c r="EC72" s="204"/>
      <c r="ED72" s="204"/>
      <c r="EE72" s="204"/>
      <c r="EF72" s="204"/>
      <c r="EG72" s="204"/>
      <c r="EH72" s="204"/>
      <c r="EI72" s="204"/>
      <c r="EJ72" s="204"/>
      <c r="EK72" s="204"/>
      <c r="EL72" s="204"/>
      <c r="EM72" s="194"/>
      <c r="EN72" s="204"/>
      <c r="EO72" s="204"/>
      <c r="EP72" s="204"/>
      <c r="EQ72" s="204"/>
      <c r="ER72" s="204"/>
      <c r="ES72" s="204"/>
      <c r="ET72" s="204"/>
      <c r="EU72" s="204"/>
      <c r="EV72" s="204"/>
      <c r="EW72" s="204"/>
      <c r="EX72" s="204"/>
      <c r="EY72" s="204"/>
      <c r="EZ72" s="204"/>
      <c r="FA72" s="204"/>
      <c r="FB72" s="204"/>
      <c r="FC72" s="204"/>
      <c r="FD72" s="204"/>
      <c r="FE72" s="204"/>
      <c r="FF72" s="204"/>
      <c r="FG72" s="204"/>
      <c r="FH72" s="204"/>
      <c r="FI72" s="204"/>
      <c r="FJ72" s="204"/>
      <c r="FK72" s="204"/>
      <c r="FL72" s="204"/>
      <c r="FM72" s="204"/>
      <c r="FN72" s="204"/>
      <c r="FO72" s="204"/>
      <c r="FP72" s="204"/>
      <c r="FQ72" s="204"/>
      <c r="FR72" s="204"/>
      <c r="FS72" s="204"/>
      <c r="FT72" s="204"/>
      <c r="FU72" s="204"/>
      <c r="FV72" s="204"/>
      <c r="FW72" s="204"/>
      <c r="FX72" s="204"/>
      <c r="FY72" s="204"/>
      <c r="FZ72" s="204"/>
      <c r="GA72" s="204"/>
      <c r="GB72" s="204"/>
      <c r="GC72" s="204"/>
      <c r="GD72" s="204"/>
      <c r="GE72" s="204"/>
      <c r="GF72" s="204"/>
      <c r="GG72" s="204"/>
      <c r="GH72" s="204"/>
      <c r="GI72" s="204"/>
      <c r="GJ72" s="204"/>
      <c r="GK72" s="204"/>
      <c r="GL72" s="204"/>
      <c r="GM72" s="204"/>
      <c r="GN72" s="204"/>
      <c r="GO72" s="204"/>
      <c r="GP72" s="204"/>
      <c r="GQ72" s="204"/>
      <c r="GR72" s="204"/>
      <c r="GS72" s="204"/>
      <c r="GT72" s="204"/>
      <c r="GU72" s="204"/>
      <c r="GV72" s="204"/>
      <c r="GW72" s="204"/>
      <c r="GX72" s="204"/>
      <c r="GY72" s="204"/>
      <c r="GZ72" s="204"/>
      <c r="HA72" s="204"/>
      <c r="HB72" s="204"/>
      <c r="HC72" s="204"/>
      <c r="HD72" s="204"/>
      <c r="HE72" s="204"/>
      <c r="HF72" s="204"/>
      <c r="HG72" s="204"/>
      <c r="HH72" s="204"/>
      <c r="HI72" s="204"/>
      <c r="HJ72" s="204"/>
      <c r="HK72" s="204"/>
      <c r="HL72" s="204"/>
      <c r="HM72" s="204"/>
      <c r="HN72" s="204"/>
      <c r="HO72" s="204"/>
      <c r="HP72" s="204"/>
      <c r="HQ72" s="204"/>
    </row>
    <row r="73" spans="1:225">
      <c r="A73" s="168"/>
      <c r="B73" s="168" t="s">
        <v>1069</v>
      </c>
      <c r="C73" s="168">
        <v>3</v>
      </c>
      <c r="D73" s="178" t="s">
        <v>1084</v>
      </c>
      <c r="E73" s="169"/>
      <c r="F73" s="169"/>
      <c r="G73" s="169" t="s">
        <v>989</v>
      </c>
      <c r="H73" s="169"/>
      <c r="I73" s="169"/>
      <c r="J73" s="169"/>
      <c r="K73" s="169"/>
      <c r="L73" s="169"/>
      <c r="M73" s="146">
        <v>43595</v>
      </c>
      <c r="N73" s="146">
        <v>43599</v>
      </c>
      <c r="O73" s="169"/>
      <c r="P73" s="170">
        <v>20</v>
      </c>
      <c r="Q73" s="170">
        <v>0</v>
      </c>
      <c r="R73" s="171" t="e">
        <f ca="1">IF(M73="","0",(N73-M73+1)-COUNTIFS(INDIRECT(getCalendarRange(O73)),"&gt;=" &amp; M73,INDIRECT(getCalendarRange(O73)),"&lt;=" &amp; N73))</f>
        <v>#NAME?</v>
      </c>
      <c r="S73" s="171">
        <f ca="1">IF(M73&gt;TODAY(),0,IF(N73&lt;TODAY(),R73,(TODAY()-M73+1)-COUNTIFS(INDIRECT(getCalendarRange(O73)),"&gt;=" &amp; M73,INDIRECT(getCalendarRange(O73)),"&lt;=" &amp; TODAY())))</f>
        <v>0</v>
      </c>
      <c r="T73" s="146"/>
      <c r="U73" s="146"/>
      <c r="V73" s="172">
        <v>0</v>
      </c>
      <c r="W73" s="173" t="str">
        <f ca="1">IF(U73="","0",IF(T73="","0",(U73-T73+1)-COUNTIFS(INDIRECT(getCalendarRange(O73)),"&gt;=" &amp; T73,INDIRECT(getCalendarRange(O73)),"&lt;=" &amp; U73)))</f>
        <v>0</v>
      </c>
      <c r="X73" s="174">
        <v>1</v>
      </c>
      <c r="Y73" s="169"/>
      <c r="Z73" s="175"/>
      <c r="AA73" s="176">
        <v>0</v>
      </c>
      <c r="AB73" s="177">
        <v>0</v>
      </c>
      <c r="AD73" s="205"/>
      <c r="AE73" s="204"/>
      <c r="AF73" s="204"/>
      <c r="AG73" s="204"/>
      <c r="AH73" s="204"/>
      <c r="AI73" s="204"/>
      <c r="AJ73" s="204"/>
      <c r="AK73" s="204"/>
      <c r="AL73" s="204"/>
      <c r="AM73" s="204"/>
      <c r="AN73" s="204"/>
      <c r="AO73" s="204"/>
      <c r="AP73" s="204"/>
      <c r="AQ73" s="204"/>
      <c r="AR73" s="204"/>
      <c r="AS73" s="204"/>
      <c r="AT73" s="204"/>
      <c r="AU73" s="204"/>
      <c r="AV73" s="204"/>
      <c r="AW73" s="204"/>
      <c r="AX73" s="204"/>
      <c r="AY73" s="204"/>
      <c r="AZ73" s="204"/>
      <c r="BA73" s="204"/>
      <c r="BB73" s="204"/>
      <c r="BC73" s="204"/>
      <c r="BD73" s="204"/>
      <c r="BE73" s="204"/>
      <c r="BF73" s="204"/>
      <c r="BG73" s="204"/>
      <c r="BH73" s="204"/>
      <c r="BI73" s="204"/>
      <c r="BJ73" s="204"/>
      <c r="BK73" s="204"/>
      <c r="BL73" s="204"/>
      <c r="BM73" s="204"/>
      <c r="BN73" s="204"/>
      <c r="BO73" s="204"/>
      <c r="BP73" s="204"/>
      <c r="BQ73" s="204"/>
      <c r="BR73" s="204"/>
      <c r="BS73" s="204"/>
      <c r="BT73" s="204"/>
      <c r="BU73" s="204"/>
      <c r="BV73" s="204"/>
      <c r="BW73" s="204"/>
      <c r="BX73" s="204"/>
      <c r="BY73" s="204"/>
      <c r="BZ73" s="204"/>
      <c r="CA73" s="204"/>
      <c r="CB73" s="204"/>
      <c r="CC73" s="204"/>
      <c r="CD73" s="204"/>
      <c r="CE73" s="204"/>
      <c r="CF73" s="204"/>
      <c r="CG73" s="204"/>
      <c r="CH73" s="204"/>
      <c r="CI73" s="204"/>
      <c r="CJ73" s="204"/>
      <c r="CK73" s="204"/>
      <c r="CL73" s="204"/>
      <c r="CM73" s="204"/>
      <c r="CN73" s="204"/>
      <c r="CO73" s="204"/>
      <c r="CP73" s="204"/>
      <c r="CQ73" s="204"/>
      <c r="CR73" s="204"/>
      <c r="CS73" s="204"/>
      <c r="CT73" s="204"/>
      <c r="CU73" s="204"/>
      <c r="CV73" s="204"/>
      <c r="CW73" s="204"/>
      <c r="CX73" s="204"/>
      <c r="CY73" s="204"/>
      <c r="CZ73" s="204"/>
      <c r="DA73" s="204"/>
      <c r="DB73" s="204"/>
      <c r="DC73" s="204"/>
      <c r="DD73" s="204"/>
      <c r="DE73" s="204"/>
      <c r="DF73" s="204"/>
      <c r="DG73" s="204"/>
      <c r="DH73" s="204"/>
      <c r="DI73" s="204"/>
      <c r="DJ73" s="204"/>
      <c r="DK73" s="204"/>
      <c r="DL73" s="204"/>
      <c r="DM73" s="204"/>
      <c r="DN73" s="204"/>
      <c r="DO73" s="204"/>
      <c r="DP73" s="204"/>
      <c r="DQ73" s="204"/>
      <c r="DR73" s="204"/>
      <c r="DS73" s="204"/>
      <c r="DT73" s="204"/>
      <c r="DU73" s="204"/>
      <c r="DV73" s="204"/>
      <c r="DW73" s="204"/>
      <c r="DX73" s="204"/>
      <c r="DY73" s="204"/>
      <c r="DZ73" s="204"/>
      <c r="EA73" s="204"/>
      <c r="EB73" s="204"/>
      <c r="EC73" s="204"/>
      <c r="ED73" s="204"/>
      <c r="EE73" s="204"/>
      <c r="EF73" s="204"/>
      <c r="EG73" s="204"/>
      <c r="EH73" s="204"/>
      <c r="EI73" s="204"/>
      <c r="EJ73" s="204"/>
      <c r="EK73" s="204"/>
      <c r="EL73" s="204"/>
      <c r="EM73" s="204"/>
      <c r="EN73" s="204"/>
      <c r="EO73" s="204"/>
      <c r="EP73" s="204"/>
      <c r="EQ73" s="204"/>
      <c r="ER73" s="204"/>
      <c r="ES73" s="204"/>
      <c r="ET73" s="204"/>
      <c r="EU73" s="204"/>
      <c r="EV73" s="204"/>
      <c r="EW73" s="204"/>
      <c r="EX73" s="204"/>
      <c r="EY73" s="204"/>
      <c r="EZ73" s="204"/>
      <c r="FA73" s="204"/>
      <c r="FB73" s="204"/>
      <c r="FC73" s="204"/>
      <c r="FD73" s="204"/>
      <c r="FE73" s="204"/>
      <c r="FF73" s="204"/>
      <c r="FG73" s="204"/>
      <c r="FH73" s="204"/>
      <c r="FI73" s="204"/>
      <c r="FJ73" s="204"/>
      <c r="FK73" s="204"/>
      <c r="FL73" s="204"/>
      <c r="FM73" s="204"/>
      <c r="FN73" s="204" t="str">
        <f>G73 &amp; " " &amp; IF(M73="","",TEXT(M73,"M/D-")) &amp; IF(N73="","",TEXT(N73,"M/D")) &amp; " "</f>
        <v xml:space="preserve">테스트실시 5/10-5/14 </v>
      </c>
      <c r="FO73" s="194" t="str">
        <f>TEXT(AB73,"#0.00%") &amp; " "</f>
        <v xml:space="preserve">0.00% </v>
      </c>
      <c r="FP73" s="204"/>
      <c r="FQ73" s="204"/>
      <c r="FR73" s="204"/>
      <c r="FS73" s="204"/>
      <c r="FT73" s="204"/>
      <c r="FU73" s="204"/>
      <c r="FV73" s="204"/>
      <c r="FW73" s="204"/>
      <c r="FX73" s="204"/>
      <c r="FY73" s="204"/>
      <c r="FZ73" s="204"/>
      <c r="GA73" s="204"/>
      <c r="GB73" s="204"/>
      <c r="GC73" s="204"/>
      <c r="GD73" s="204"/>
      <c r="GE73" s="204"/>
      <c r="GF73" s="204"/>
      <c r="GG73" s="204"/>
      <c r="GH73" s="204"/>
      <c r="GI73" s="204"/>
      <c r="GJ73" s="204"/>
      <c r="GK73" s="204"/>
      <c r="GL73" s="204"/>
      <c r="GM73" s="204"/>
      <c r="GN73" s="204"/>
      <c r="GO73" s="204"/>
      <c r="GP73" s="204"/>
      <c r="GQ73" s="204"/>
      <c r="GR73" s="204"/>
      <c r="GS73" s="204"/>
      <c r="GT73" s="204"/>
      <c r="GU73" s="204"/>
      <c r="GV73" s="204"/>
      <c r="GW73" s="204"/>
      <c r="GX73" s="204"/>
      <c r="GY73" s="204"/>
      <c r="GZ73" s="204"/>
      <c r="HA73" s="204"/>
      <c r="HB73" s="204"/>
      <c r="HC73" s="204"/>
      <c r="HD73" s="204"/>
      <c r="HE73" s="204"/>
      <c r="HF73" s="204"/>
      <c r="HG73" s="204"/>
      <c r="HH73" s="204"/>
      <c r="HI73" s="204"/>
      <c r="HJ73" s="204"/>
      <c r="HK73" s="204"/>
      <c r="HL73" s="204"/>
      <c r="HM73" s="204"/>
      <c r="HN73" s="204"/>
      <c r="HO73" s="204"/>
      <c r="HP73" s="204"/>
      <c r="HQ73" s="204"/>
    </row>
    <row r="74" spans="1:225" ht="13.2">
      <c r="A74" s="168"/>
      <c r="B74" s="168"/>
      <c r="C74" s="168">
        <v>4</v>
      </c>
      <c r="D74" s="178" t="s">
        <v>1052</v>
      </c>
      <c r="E74" s="169"/>
      <c r="F74" s="169"/>
      <c r="G74" s="169"/>
      <c r="H74" s="169" t="s">
        <v>990</v>
      </c>
      <c r="I74" s="169"/>
      <c r="J74" s="169"/>
      <c r="K74" s="169"/>
      <c r="L74" s="169"/>
      <c r="M74" s="146">
        <v>43595</v>
      </c>
      <c r="N74" s="146">
        <v>43598</v>
      </c>
      <c r="O74" s="169"/>
      <c r="P74" s="170">
        <v>15</v>
      </c>
      <c r="Q74" s="170">
        <v>0</v>
      </c>
      <c r="R74" s="171" t="e">
        <f ca="1">IF(M74="","0",(N74-M74+1)-COUNTIFS(INDIRECT(getCalendarRange(O74)),"&gt;=" &amp; M74,INDIRECT(getCalendarRange(O74)),"&lt;=" &amp; N74))</f>
        <v>#NAME?</v>
      </c>
      <c r="S74" s="171">
        <f ca="1">IF(M74&gt;TODAY(),0,IF(N74&lt;TODAY(),R74,(TODAY()-M74+1)-COUNTIFS(INDIRECT(getCalendarRange(O74)),"&gt;=" &amp; M74,INDIRECT(getCalendarRange(O74)),"&lt;=" &amp; TODAY())))</f>
        <v>0</v>
      </c>
      <c r="T74" s="146"/>
      <c r="U74" s="146"/>
      <c r="V74" s="172"/>
      <c r="W74" s="173" t="str">
        <f ca="1">IF(U74="","0",IF(T74="","0",(U74-T74+1)-COUNTIFS(INDIRECT(getCalendarRange(O74)),"&gt;=" &amp; T74,INDIRECT(getCalendarRange(O74)),"&lt;=" &amp; U74)))</f>
        <v>0</v>
      </c>
      <c r="X74" s="174">
        <v>1</v>
      </c>
      <c r="Y74" s="169" t="s">
        <v>1194</v>
      </c>
      <c r="Z74" s="175"/>
      <c r="AA74" s="176">
        <v>0</v>
      </c>
      <c r="AB74" s="177">
        <v>0</v>
      </c>
      <c r="AD74" s="205"/>
      <c r="AE74" s="204"/>
      <c r="AF74" s="204"/>
      <c r="AG74" s="204"/>
      <c r="AH74" s="204"/>
      <c r="AI74" s="204"/>
      <c r="AJ74" s="204"/>
      <c r="AK74" s="204"/>
      <c r="AL74" s="204"/>
      <c r="AM74" s="204"/>
      <c r="AN74" s="204"/>
      <c r="AO74" s="204"/>
      <c r="AP74" s="204"/>
      <c r="AQ74" s="204"/>
      <c r="AR74" s="204"/>
      <c r="AS74" s="204"/>
      <c r="AT74" s="204"/>
      <c r="AU74" s="204"/>
      <c r="AV74" s="204"/>
      <c r="AW74" s="204"/>
      <c r="AX74" s="204"/>
      <c r="AY74" s="204"/>
      <c r="AZ74" s="204"/>
      <c r="BA74" s="204"/>
      <c r="BB74" s="204"/>
      <c r="BC74" s="204"/>
      <c r="BD74" s="204"/>
      <c r="BE74" s="204"/>
      <c r="BF74" s="204"/>
      <c r="BG74" s="204"/>
      <c r="BH74" s="204"/>
      <c r="BI74" s="204"/>
      <c r="BJ74" s="204"/>
      <c r="BK74" s="204"/>
      <c r="BL74" s="204"/>
      <c r="BM74" s="204"/>
      <c r="BN74" s="204"/>
      <c r="BO74" s="204"/>
      <c r="BP74" s="204"/>
      <c r="BQ74" s="204"/>
      <c r="BR74" s="204"/>
      <c r="BS74" s="204"/>
      <c r="BT74" s="204"/>
      <c r="BU74" s="204"/>
      <c r="BV74" s="204"/>
      <c r="BW74" s="204"/>
      <c r="BX74" s="204"/>
      <c r="BY74" s="204"/>
      <c r="BZ74" s="204"/>
      <c r="CA74" s="204"/>
      <c r="CB74" s="204"/>
      <c r="CC74" s="204"/>
      <c r="CD74" s="204"/>
      <c r="CE74" s="204"/>
      <c r="CF74" s="204"/>
      <c r="CG74" s="204"/>
      <c r="CH74" s="204"/>
      <c r="CI74" s="204"/>
      <c r="CJ74" s="204"/>
      <c r="CK74" s="204"/>
      <c r="CL74" s="204"/>
      <c r="CM74" s="204"/>
      <c r="CN74" s="204"/>
      <c r="CO74" s="204"/>
      <c r="CP74" s="204"/>
      <c r="CQ74" s="204"/>
      <c r="CR74" s="204"/>
      <c r="CS74" s="204"/>
      <c r="CT74" s="204"/>
      <c r="CU74" s="204"/>
      <c r="CV74" s="204"/>
      <c r="CW74" s="204"/>
      <c r="CX74" s="204"/>
      <c r="CY74" s="204"/>
      <c r="CZ74" s="204"/>
      <c r="DA74" s="204"/>
      <c r="DB74" s="204"/>
      <c r="DC74" s="204"/>
      <c r="DD74" s="204"/>
      <c r="DE74" s="204"/>
      <c r="DF74" s="204"/>
      <c r="DG74" s="204"/>
      <c r="DH74" s="204"/>
      <c r="DI74" s="204"/>
      <c r="DJ74" s="204"/>
      <c r="DK74" s="204"/>
      <c r="DL74" s="204"/>
      <c r="DM74" s="204"/>
      <c r="DN74" s="204"/>
      <c r="DO74" s="204"/>
      <c r="DP74" s="204"/>
      <c r="DQ74" s="204"/>
      <c r="DR74" s="204"/>
      <c r="DS74" s="204"/>
      <c r="DT74" s="204"/>
      <c r="DU74" s="204"/>
      <c r="DV74" s="204"/>
      <c r="DW74" s="204"/>
      <c r="DX74" s="204"/>
      <c r="DY74" s="204"/>
      <c r="DZ74" s="204"/>
      <c r="EA74" s="204"/>
      <c r="EB74" s="204"/>
      <c r="EC74" s="204"/>
      <c r="ED74" s="204"/>
      <c r="EE74" s="204"/>
      <c r="EF74" s="204"/>
      <c r="EG74" s="204"/>
      <c r="EH74" s="204"/>
      <c r="EI74" s="204"/>
      <c r="EJ74" s="204"/>
      <c r="EK74" s="204"/>
      <c r="EL74" s="204"/>
      <c r="EM74" s="204"/>
      <c r="EN74" s="204"/>
      <c r="EO74" s="204"/>
      <c r="EP74" s="204"/>
      <c r="EQ74" s="204"/>
      <c r="ER74" s="204"/>
      <c r="ES74" s="204"/>
      <c r="ET74" s="204"/>
      <c r="EU74" s="204"/>
      <c r="EV74" s="204"/>
      <c r="EW74" s="204"/>
      <c r="EX74" s="204"/>
      <c r="EY74" s="204"/>
      <c r="EZ74" s="204"/>
      <c r="FA74" s="204"/>
      <c r="FB74" s="204"/>
      <c r="FC74" s="204"/>
      <c r="FD74" s="204"/>
      <c r="FE74" s="204"/>
      <c r="FF74" s="204"/>
      <c r="FG74" s="204"/>
      <c r="FH74" s="204"/>
      <c r="FI74" s="204"/>
      <c r="FJ74" s="204"/>
      <c r="FK74" s="204"/>
      <c r="FL74" s="204"/>
      <c r="FM74" s="204"/>
      <c r="FN74" s="204" t="str">
        <f>H74 &amp; " " &amp; IF(M74="","",TEXT(M74,"M/D-")) &amp; IF(N74="","",TEXT(N74,"M/D")) &amp; " "</f>
        <v xml:space="preserve">통합테스트실시 5/10-5/13 </v>
      </c>
      <c r="FO74" s="194" t="str">
        <f>TEXT(AB74,"#0.00%") &amp; " "</f>
        <v xml:space="preserve">0.00% </v>
      </c>
      <c r="FP74" s="204"/>
      <c r="FQ74" s="204"/>
      <c r="FR74" s="204"/>
      <c r="FS74" s="204"/>
      <c r="FT74" s="204"/>
      <c r="FU74" s="204"/>
      <c r="FV74" s="204"/>
      <c r="FW74" s="204"/>
      <c r="FX74" s="204"/>
      <c r="FY74" s="204"/>
      <c r="FZ74" s="204"/>
      <c r="GA74" s="204"/>
      <c r="GB74" s="204"/>
      <c r="GC74" s="204"/>
      <c r="GD74" s="204"/>
      <c r="GE74" s="204"/>
      <c r="GF74" s="204"/>
      <c r="GG74" s="204"/>
      <c r="GH74" s="204"/>
      <c r="GI74" s="204"/>
      <c r="GJ74" s="204"/>
      <c r="GK74" s="204"/>
      <c r="GL74" s="204"/>
      <c r="GM74" s="204"/>
      <c r="GN74" s="204"/>
      <c r="GO74" s="204"/>
      <c r="GP74" s="204"/>
      <c r="GQ74" s="204"/>
      <c r="GR74" s="204"/>
      <c r="GS74" s="204"/>
      <c r="GT74" s="204"/>
      <c r="GU74" s="204"/>
      <c r="GV74" s="204"/>
      <c r="GW74" s="204"/>
      <c r="GX74" s="204"/>
      <c r="GY74" s="204"/>
      <c r="GZ74" s="204"/>
      <c r="HA74" s="204"/>
      <c r="HB74" s="204"/>
      <c r="HC74" s="204"/>
      <c r="HD74" s="204"/>
      <c r="HE74" s="204"/>
      <c r="HF74" s="204"/>
      <c r="HG74" s="204"/>
      <c r="HH74" s="204"/>
      <c r="HI74" s="204"/>
      <c r="HJ74" s="204"/>
      <c r="HK74" s="204"/>
      <c r="HL74" s="204"/>
      <c r="HM74" s="204"/>
      <c r="HN74" s="204"/>
      <c r="HO74" s="204"/>
      <c r="HP74" s="204"/>
      <c r="HQ74" s="204"/>
    </row>
    <row r="75" spans="1:225" ht="13.2">
      <c r="A75" s="168"/>
      <c r="B75" s="168"/>
      <c r="C75" s="168">
        <v>4</v>
      </c>
      <c r="D75" s="178" t="s">
        <v>1053</v>
      </c>
      <c r="E75" s="169"/>
      <c r="F75" s="169"/>
      <c r="G75" s="169"/>
      <c r="H75" s="169" t="s">
        <v>991</v>
      </c>
      <c r="I75" s="169"/>
      <c r="J75" s="169"/>
      <c r="K75" s="169"/>
      <c r="L75" s="169"/>
      <c r="M75" s="146">
        <v>43598</v>
      </c>
      <c r="N75" s="146">
        <v>43599</v>
      </c>
      <c r="O75" s="169"/>
      <c r="P75" s="170">
        <v>5</v>
      </c>
      <c r="Q75" s="170">
        <v>0</v>
      </c>
      <c r="R75" s="171" t="e">
        <f ca="1">IF(M75="","0",(N75-M75+1)-COUNTIFS(INDIRECT(getCalendarRange(O75)),"&gt;=" &amp; M75,INDIRECT(getCalendarRange(O75)),"&lt;=" &amp; N75))</f>
        <v>#NAME?</v>
      </c>
      <c r="S75" s="171">
        <f ca="1">IF(M75&gt;TODAY(),0,IF(N75&lt;TODAY(),R75,(TODAY()-M75+1)-COUNTIFS(INDIRECT(getCalendarRange(O75)),"&gt;=" &amp; M75,INDIRECT(getCalendarRange(O75)),"&lt;=" &amp; TODAY())))</f>
        <v>0</v>
      </c>
      <c r="T75" s="146"/>
      <c r="U75" s="146"/>
      <c r="V75" s="172"/>
      <c r="W75" s="173" t="str">
        <f ca="1">IF(U75="","0",IF(T75="","0",(U75-T75+1)-COUNTIFS(INDIRECT(getCalendarRange(O75)),"&gt;=" &amp; T75,INDIRECT(getCalendarRange(O75)),"&lt;=" &amp; U75)))</f>
        <v>0</v>
      </c>
      <c r="X75" s="174">
        <v>1</v>
      </c>
      <c r="Y75" s="211" t="s">
        <v>1179</v>
      </c>
      <c r="Z75" s="175"/>
      <c r="AA75" s="176">
        <v>0</v>
      </c>
      <c r="AB75" s="177">
        <v>0</v>
      </c>
      <c r="AD75" s="205"/>
      <c r="AE75" s="204"/>
      <c r="AF75" s="204"/>
      <c r="AG75" s="204"/>
      <c r="AH75" s="204"/>
      <c r="AI75" s="204"/>
      <c r="AJ75" s="204"/>
      <c r="AK75" s="204"/>
      <c r="AL75" s="204"/>
      <c r="AM75" s="204"/>
      <c r="AN75" s="204"/>
      <c r="AO75" s="204"/>
      <c r="AP75" s="204"/>
      <c r="AQ75" s="204"/>
      <c r="AR75" s="204"/>
      <c r="AS75" s="204"/>
      <c r="AT75" s="204"/>
      <c r="AU75" s="204"/>
      <c r="AV75" s="204"/>
      <c r="AW75" s="204"/>
      <c r="AX75" s="204"/>
      <c r="AY75" s="204"/>
      <c r="AZ75" s="204"/>
      <c r="BA75" s="204"/>
      <c r="BB75" s="204"/>
      <c r="BC75" s="204"/>
      <c r="BD75" s="204"/>
      <c r="BE75" s="204"/>
      <c r="BF75" s="204"/>
      <c r="BG75" s="204"/>
      <c r="BH75" s="204"/>
      <c r="BI75" s="204"/>
      <c r="BJ75" s="204"/>
      <c r="BK75" s="204"/>
      <c r="BL75" s="204"/>
      <c r="BM75" s="204"/>
      <c r="BN75" s="204"/>
      <c r="BO75" s="204"/>
      <c r="BP75" s="204"/>
      <c r="BQ75" s="204"/>
      <c r="BR75" s="204"/>
      <c r="BS75" s="204"/>
      <c r="BT75" s="204"/>
      <c r="BU75" s="204"/>
      <c r="BV75" s="204"/>
      <c r="BW75" s="204"/>
      <c r="BX75" s="204"/>
      <c r="BY75" s="204"/>
      <c r="BZ75" s="204"/>
      <c r="CA75" s="204"/>
      <c r="CB75" s="204"/>
      <c r="CC75" s="204"/>
      <c r="CD75" s="204"/>
      <c r="CE75" s="204"/>
      <c r="CF75" s="204"/>
      <c r="CG75" s="204"/>
      <c r="CH75" s="204"/>
      <c r="CI75" s="204"/>
      <c r="CJ75" s="204"/>
      <c r="CK75" s="204"/>
      <c r="CL75" s="204"/>
      <c r="CM75" s="204"/>
      <c r="CN75" s="204"/>
      <c r="CO75" s="204"/>
      <c r="CP75" s="204"/>
      <c r="CQ75" s="204"/>
      <c r="CR75" s="204"/>
      <c r="CS75" s="204"/>
      <c r="CT75" s="204"/>
      <c r="CU75" s="204"/>
      <c r="CV75" s="204"/>
      <c r="CW75" s="204"/>
      <c r="CX75" s="204"/>
      <c r="CY75" s="204"/>
      <c r="CZ75" s="204"/>
      <c r="DA75" s="204"/>
      <c r="DB75" s="204"/>
      <c r="DC75" s="204"/>
      <c r="DD75" s="204"/>
      <c r="DE75" s="204"/>
      <c r="DF75" s="204"/>
      <c r="DG75" s="204"/>
      <c r="DH75" s="204"/>
      <c r="DI75" s="204"/>
      <c r="DJ75" s="204"/>
      <c r="DK75" s="204"/>
      <c r="DL75" s="204"/>
      <c r="DM75" s="204"/>
      <c r="DN75" s="204"/>
      <c r="DO75" s="204"/>
      <c r="DP75" s="204"/>
      <c r="DQ75" s="204"/>
      <c r="DR75" s="204"/>
      <c r="DS75" s="204"/>
      <c r="DT75" s="204"/>
      <c r="DU75" s="204"/>
      <c r="DV75" s="204"/>
      <c r="DW75" s="204"/>
      <c r="DX75" s="204"/>
      <c r="DY75" s="204"/>
      <c r="DZ75" s="204"/>
      <c r="EA75" s="204"/>
      <c r="EB75" s="204"/>
      <c r="EC75" s="204"/>
      <c r="ED75" s="204"/>
      <c r="EE75" s="204"/>
      <c r="EF75" s="204"/>
      <c r="EG75" s="204"/>
      <c r="EH75" s="204"/>
      <c r="EI75" s="204"/>
      <c r="EJ75" s="204"/>
      <c r="EK75" s="204"/>
      <c r="EL75" s="204"/>
      <c r="EM75" s="204"/>
      <c r="EN75" s="204"/>
      <c r="EO75" s="204"/>
      <c r="EP75" s="204"/>
      <c r="EQ75" s="204"/>
      <c r="ER75" s="204"/>
      <c r="ES75" s="204"/>
      <c r="ET75" s="204"/>
      <c r="EU75" s="204"/>
      <c r="EV75" s="204"/>
      <c r="EW75" s="204"/>
      <c r="EX75" s="204"/>
      <c r="EY75" s="204"/>
      <c r="EZ75" s="204"/>
      <c r="FA75" s="204"/>
      <c r="FB75" s="204"/>
      <c r="FC75" s="204"/>
      <c r="FD75" s="204"/>
      <c r="FE75" s="204"/>
      <c r="FF75" s="204"/>
      <c r="FG75" s="204"/>
      <c r="FH75" s="204"/>
      <c r="FI75" s="204"/>
      <c r="FJ75" s="204"/>
      <c r="FK75" s="204"/>
      <c r="FL75" s="204"/>
      <c r="FM75" s="204"/>
      <c r="FN75" s="204"/>
      <c r="FO75" s="204"/>
      <c r="FP75" s="204"/>
      <c r="FQ75" s="204"/>
      <c r="FR75" s="204"/>
      <c r="FS75" s="204"/>
      <c r="FT75" s="204"/>
      <c r="FU75" s="204"/>
      <c r="FV75" s="204"/>
      <c r="FW75" s="204"/>
      <c r="FX75" s="204"/>
      <c r="FY75" s="204"/>
      <c r="FZ75" s="204"/>
      <c r="GA75" s="204"/>
      <c r="GB75" s="204"/>
      <c r="GC75" s="204"/>
      <c r="GD75" s="204"/>
      <c r="GE75" s="204"/>
      <c r="GF75" s="204"/>
      <c r="GG75" s="204"/>
      <c r="GH75" s="204"/>
      <c r="GI75" s="204" t="str">
        <f>H75 &amp; " " &amp; IF(M75="","",TEXT(M75,"M/D-")) &amp; IF(N75="","",TEXT(N75,"M/D")) &amp; " "</f>
        <v xml:space="preserve">시스템테스트실시 5/13-5/14 </v>
      </c>
      <c r="GJ75" s="194" t="str">
        <f>TEXT(AB75,"#0.00%") &amp; " "</f>
        <v xml:space="preserve">0.00% </v>
      </c>
      <c r="GK75" s="204"/>
      <c r="GL75" s="204"/>
      <c r="GM75" s="204"/>
      <c r="GN75" s="204"/>
      <c r="GO75" s="204"/>
      <c r="GP75" s="204"/>
      <c r="GQ75" s="204"/>
      <c r="GR75" s="204"/>
      <c r="GS75" s="204"/>
      <c r="GT75" s="204"/>
      <c r="GU75" s="204"/>
      <c r="GV75" s="204"/>
      <c r="GW75" s="204"/>
      <c r="GX75" s="204"/>
      <c r="GY75" s="204"/>
      <c r="GZ75" s="204"/>
      <c r="HA75" s="204"/>
      <c r="HB75" s="204"/>
      <c r="HC75" s="204"/>
      <c r="HD75" s="204"/>
      <c r="HE75" s="204"/>
      <c r="HF75" s="204"/>
      <c r="HG75" s="204"/>
      <c r="HH75" s="204"/>
      <c r="HI75" s="204"/>
      <c r="HJ75" s="204"/>
      <c r="HK75" s="204"/>
      <c r="HL75" s="204"/>
      <c r="HM75" s="204"/>
      <c r="HN75" s="204"/>
      <c r="HO75" s="204"/>
      <c r="HP75" s="204"/>
      <c r="HQ75" s="204"/>
    </row>
    <row r="76" spans="1:225">
      <c r="A76" s="168"/>
      <c r="B76" s="168" t="s">
        <v>1069</v>
      </c>
      <c r="C76" s="168">
        <v>2</v>
      </c>
      <c r="D76" s="178" t="s">
        <v>1085</v>
      </c>
      <c r="E76" s="169"/>
      <c r="F76" s="169" t="s">
        <v>992</v>
      </c>
      <c r="G76" s="169"/>
      <c r="H76" s="169"/>
      <c r="I76" s="169"/>
      <c r="J76" s="169"/>
      <c r="K76" s="169"/>
      <c r="L76" s="169"/>
      <c r="M76" s="146">
        <v>43599</v>
      </c>
      <c r="N76" s="146">
        <v>43626</v>
      </c>
      <c r="O76" s="169"/>
      <c r="P76" s="170">
        <v>7</v>
      </c>
      <c r="Q76" s="170">
        <v>0</v>
      </c>
      <c r="R76" s="171" t="e">
        <f ca="1">IF(M76="","0",(N76-M76+1)-COUNTIFS(INDIRECT(getCalendarRange(O76)),"&gt;=" &amp; M76,INDIRECT(getCalendarRange(O76)),"&lt;=" &amp; N76))</f>
        <v>#NAME?</v>
      </c>
      <c r="S76" s="171">
        <f ca="1">IF(M76&gt;TODAY(),0,IF(N76&lt;TODAY(),R76,(TODAY()-M76+1)-COUNTIFS(INDIRECT(getCalendarRange(O76)),"&gt;=" &amp; M76,INDIRECT(getCalendarRange(O76)),"&lt;=" &amp; TODAY())))</f>
        <v>0</v>
      </c>
      <c r="T76" s="146"/>
      <c r="U76" s="146"/>
      <c r="V76" s="172">
        <v>0</v>
      </c>
      <c r="W76" s="173" t="str">
        <f ca="1">IF(U76="","0",IF(T76="","0",(U76-T76+1)-COUNTIFS(INDIRECT(getCalendarRange(O76)),"&gt;=" &amp; T76,INDIRECT(getCalendarRange(O76)),"&lt;=" &amp; U76)))</f>
        <v>0</v>
      </c>
      <c r="X76" s="174">
        <v>1</v>
      </c>
      <c r="Y76" s="169"/>
      <c r="Z76" s="175"/>
      <c r="AA76" s="176">
        <v>0</v>
      </c>
      <c r="AB76" s="177">
        <v>0</v>
      </c>
      <c r="AD76" s="205"/>
      <c r="AE76" s="204"/>
      <c r="AF76" s="204"/>
      <c r="AG76" s="204"/>
      <c r="AH76" s="204"/>
      <c r="AI76" s="204"/>
      <c r="AJ76" s="204"/>
      <c r="AK76" s="204"/>
      <c r="AL76" s="204"/>
      <c r="AM76" s="204"/>
      <c r="AN76" s="204"/>
      <c r="AO76" s="204"/>
      <c r="AP76" s="204"/>
      <c r="AQ76" s="204"/>
      <c r="AR76" s="204"/>
      <c r="AS76" s="204"/>
      <c r="AT76" s="204"/>
      <c r="AU76" s="204"/>
      <c r="AV76" s="204"/>
      <c r="AW76" s="204"/>
      <c r="AX76" s="204"/>
      <c r="AY76" s="204"/>
      <c r="AZ76" s="204"/>
      <c r="BA76" s="204"/>
      <c r="BB76" s="204"/>
      <c r="BC76" s="204"/>
      <c r="BD76" s="204"/>
      <c r="BE76" s="204"/>
      <c r="BF76" s="204"/>
      <c r="BG76" s="204"/>
      <c r="BH76" s="204"/>
      <c r="BI76" s="204"/>
      <c r="BJ76" s="204"/>
      <c r="BK76" s="204"/>
      <c r="BL76" s="204"/>
      <c r="BM76" s="204"/>
      <c r="BN76" s="204"/>
      <c r="BO76" s="204"/>
      <c r="BP76" s="204"/>
      <c r="BQ76" s="204"/>
      <c r="BR76" s="204"/>
      <c r="BS76" s="204"/>
      <c r="BT76" s="204"/>
      <c r="BU76" s="204"/>
      <c r="BV76" s="204"/>
      <c r="BW76" s="204"/>
      <c r="BX76" s="204"/>
      <c r="BY76" s="204"/>
      <c r="BZ76" s="204"/>
      <c r="CA76" s="204"/>
      <c r="CB76" s="204"/>
      <c r="CC76" s="204"/>
      <c r="CD76" s="204"/>
      <c r="CE76" s="204"/>
      <c r="CF76" s="204"/>
      <c r="CG76" s="204"/>
      <c r="CH76" s="204"/>
      <c r="CI76" s="204"/>
      <c r="CJ76" s="204"/>
      <c r="CK76" s="204"/>
      <c r="CL76" s="204"/>
      <c r="CM76" s="204"/>
      <c r="CN76" s="204"/>
      <c r="CO76" s="204"/>
      <c r="CP76" s="204"/>
      <c r="CQ76" s="204"/>
      <c r="CR76" s="204"/>
      <c r="CS76" s="204"/>
      <c r="CT76" s="204"/>
      <c r="CU76" s="204"/>
      <c r="CV76" s="204"/>
      <c r="CW76" s="204"/>
      <c r="CX76" s="204"/>
      <c r="CY76" s="204"/>
      <c r="CZ76" s="204"/>
      <c r="DA76" s="204"/>
      <c r="DB76" s="204"/>
      <c r="DC76" s="204"/>
      <c r="DD76" s="204"/>
      <c r="DE76" s="204"/>
      <c r="DF76" s="204"/>
      <c r="DG76" s="204"/>
      <c r="DH76" s="204"/>
      <c r="DI76" s="204"/>
      <c r="DJ76" s="204"/>
      <c r="DK76" s="204"/>
      <c r="DL76" s="204"/>
      <c r="DM76" s="204"/>
      <c r="DN76" s="204"/>
      <c r="DO76" s="204"/>
      <c r="DP76" s="204"/>
      <c r="DQ76" s="204"/>
      <c r="DR76" s="204"/>
      <c r="DS76" s="204"/>
      <c r="DT76" s="204"/>
      <c r="DU76" s="204"/>
      <c r="DV76" s="204"/>
      <c r="DW76" s="204"/>
      <c r="DX76" s="204"/>
      <c r="DY76" s="204"/>
      <c r="DZ76" s="204"/>
      <c r="EA76" s="204"/>
      <c r="EB76" s="204"/>
      <c r="EC76" s="204"/>
      <c r="ED76" s="204"/>
      <c r="EE76" s="204"/>
      <c r="EF76" s="204"/>
      <c r="EG76" s="204"/>
      <c r="EH76" s="204"/>
      <c r="EI76" s="204"/>
      <c r="EJ76" s="204"/>
      <c r="EK76" s="204"/>
      <c r="EL76" s="204"/>
      <c r="EM76" s="204"/>
      <c r="EN76" s="204"/>
      <c r="EO76" s="204"/>
      <c r="EP76" s="204"/>
      <c r="EQ76" s="204"/>
      <c r="ER76" s="204"/>
      <c r="ES76" s="204"/>
      <c r="ET76" s="204"/>
      <c r="EU76" s="204"/>
      <c r="EV76" s="204"/>
      <c r="EW76" s="204"/>
      <c r="EX76" s="204"/>
      <c r="EY76" s="204"/>
      <c r="EZ76" s="204"/>
      <c r="FA76" s="204"/>
      <c r="FB76" s="204"/>
      <c r="FC76" s="204"/>
      <c r="FD76" s="204"/>
      <c r="FE76" s="204"/>
      <c r="FF76" s="204"/>
      <c r="FG76" s="204"/>
      <c r="FH76" s="204"/>
      <c r="FI76" s="204"/>
      <c r="FJ76" s="204"/>
      <c r="FK76" s="204"/>
      <c r="FL76" s="204"/>
      <c r="FM76" s="204"/>
      <c r="FN76" s="204"/>
      <c r="FO76" s="204"/>
      <c r="FP76" s="204"/>
      <c r="FQ76" s="204"/>
      <c r="FR76" s="204"/>
      <c r="FS76" s="204"/>
      <c r="FT76" s="204"/>
      <c r="FU76" s="204"/>
      <c r="FV76" s="204"/>
      <c r="FW76" s="204"/>
      <c r="FX76" s="204"/>
      <c r="FY76" s="204"/>
      <c r="FZ76" s="204"/>
      <c r="GA76" s="204"/>
      <c r="GB76" s="204"/>
      <c r="GC76" s="204"/>
      <c r="GD76" s="204"/>
      <c r="GE76" s="204"/>
      <c r="GF76" s="204"/>
      <c r="GG76" s="204"/>
      <c r="GH76" s="204"/>
      <c r="GI76" s="204" t="str">
        <f>F76 &amp; " " &amp; IF(M76="","",TEXT(M76,"M/D-")) &amp; IF(N76="","",TEXT(N76,"M/D")) &amp; " "</f>
        <v xml:space="preserve">구현 5/14-6/10 </v>
      </c>
      <c r="GJ76" s="194" t="str">
        <f>TEXT(AB76,"#0.00%") &amp; " "</f>
        <v xml:space="preserve">0.00% </v>
      </c>
      <c r="GK76" s="204"/>
      <c r="GL76" s="204"/>
      <c r="GM76" s="204"/>
      <c r="GN76" s="204"/>
      <c r="GO76" s="204"/>
      <c r="GP76" s="204"/>
      <c r="GQ76" s="204"/>
      <c r="GR76" s="204"/>
      <c r="GS76" s="204"/>
      <c r="GT76" s="204"/>
      <c r="GU76" s="204"/>
      <c r="GV76" s="204"/>
      <c r="GW76" s="204"/>
      <c r="GX76" s="204"/>
      <c r="GY76" s="204"/>
      <c r="GZ76" s="204"/>
      <c r="HA76" s="204"/>
      <c r="HB76" s="204"/>
      <c r="HC76" s="204"/>
      <c r="HD76" s="204"/>
      <c r="HE76" s="204"/>
      <c r="HF76" s="204"/>
      <c r="HG76" s="204"/>
      <c r="HH76" s="204"/>
      <c r="HI76" s="204"/>
      <c r="HJ76" s="204"/>
      <c r="HK76" s="204"/>
      <c r="HL76" s="204"/>
      <c r="HM76" s="204"/>
      <c r="HN76" s="204"/>
      <c r="HO76" s="204"/>
      <c r="HP76" s="204"/>
      <c r="HQ76" s="204"/>
    </row>
    <row r="77" spans="1:225">
      <c r="A77" s="168"/>
      <c r="B77" s="168" t="s">
        <v>1069</v>
      </c>
      <c r="C77" s="168">
        <v>3</v>
      </c>
      <c r="D77" s="178" t="s">
        <v>1086</v>
      </c>
      <c r="E77" s="169"/>
      <c r="F77" s="169"/>
      <c r="G77" s="169" t="s">
        <v>993</v>
      </c>
      <c r="H77" s="169"/>
      <c r="I77" s="169"/>
      <c r="J77" s="169"/>
      <c r="K77" s="169"/>
      <c r="L77" s="169"/>
      <c r="M77" s="146">
        <v>43599</v>
      </c>
      <c r="N77" s="146">
        <v>43615</v>
      </c>
      <c r="O77" s="169"/>
      <c r="P77" s="170">
        <v>3</v>
      </c>
      <c r="Q77" s="170">
        <v>0</v>
      </c>
      <c r="R77" s="171" t="e">
        <f ca="1">IF(M77="","0",(N77-M77+1)-COUNTIFS(INDIRECT(getCalendarRange(O77)),"&gt;=" &amp; M77,INDIRECT(getCalendarRange(O77)),"&lt;=" &amp; N77))</f>
        <v>#NAME?</v>
      </c>
      <c r="S77" s="171">
        <f ca="1">IF(M77&gt;TODAY(),0,IF(N77&lt;TODAY(),R77,(TODAY()-M77+1)-COUNTIFS(INDIRECT(getCalendarRange(O77)),"&gt;=" &amp; M77,INDIRECT(getCalendarRange(O77)),"&lt;=" &amp; TODAY())))</f>
        <v>0</v>
      </c>
      <c r="T77" s="146"/>
      <c r="U77" s="146"/>
      <c r="V77" s="172">
        <v>0</v>
      </c>
      <c r="W77" s="173" t="str">
        <f ca="1">IF(U77="","0",IF(T77="","0",(U77-T77+1)-COUNTIFS(INDIRECT(getCalendarRange(O77)),"&gt;=" &amp; T77,INDIRECT(getCalendarRange(O77)),"&lt;=" &amp; U77)))</f>
        <v>0</v>
      </c>
      <c r="X77" s="174">
        <v>1</v>
      </c>
      <c r="Y77" s="169"/>
      <c r="Z77" s="175"/>
      <c r="AA77" s="176">
        <v>0</v>
      </c>
      <c r="AB77" s="177">
        <v>0</v>
      </c>
      <c r="AD77" s="205"/>
      <c r="AE77" s="204"/>
      <c r="AF77" s="204"/>
      <c r="AG77" s="204"/>
      <c r="AH77" s="204"/>
      <c r="AI77" s="204"/>
      <c r="AJ77" s="204"/>
      <c r="AK77" s="204"/>
      <c r="AL77" s="204"/>
      <c r="AM77" s="204"/>
      <c r="AN77" s="204"/>
      <c r="AO77" s="204"/>
      <c r="AP77" s="204"/>
      <c r="AQ77" s="204"/>
      <c r="AR77" s="204"/>
      <c r="AS77" s="204"/>
      <c r="AT77" s="204"/>
      <c r="AU77" s="204"/>
      <c r="AV77" s="204"/>
      <c r="AW77" s="204"/>
      <c r="AX77" s="204"/>
      <c r="AY77" s="204"/>
      <c r="AZ77" s="204"/>
      <c r="BA77" s="204"/>
      <c r="BB77" s="204"/>
      <c r="BC77" s="204"/>
      <c r="BD77" s="204"/>
      <c r="BE77" s="204"/>
      <c r="BF77" s="204"/>
      <c r="BG77" s="204"/>
      <c r="BH77" s="204"/>
      <c r="BI77" s="204"/>
      <c r="BJ77" s="204"/>
      <c r="BK77" s="204"/>
      <c r="BL77" s="204"/>
      <c r="BM77" s="204"/>
      <c r="BN77" s="204"/>
      <c r="BO77" s="204"/>
      <c r="BP77" s="204"/>
      <c r="BQ77" s="204"/>
      <c r="BR77" s="204"/>
      <c r="BS77" s="204"/>
      <c r="BT77" s="204"/>
      <c r="BU77" s="204"/>
      <c r="BV77" s="204"/>
      <c r="BW77" s="204"/>
      <c r="BX77" s="204"/>
      <c r="BY77" s="204"/>
      <c r="BZ77" s="204"/>
      <c r="CA77" s="204"/>
      <c r="CB77" s="204"/>
      <c r="CC77" s="204"/>
      <c r="CD77" s="204"/>
      <c r="CE77" s="204"/>
      <c r="CF77" s="204"/>
      <c r="CG77" s="204"/>
      <c r="CH77" s="204"/>
      <c r="CI77" s="204"/>
      <c r="CJ77" s="204"/>
      <c r="CK77" s="204"/>
      <c r="CL77" s="204"/>
      <c r="CM77" s="204"/>
      <c r="CN77" s="204"/>
      <c r="CO77" s="204"/>
      <c r="CP77" s="204"/>
      <c r="CQ77" s="204"/>
      <c r="CR77" s="204"/>
      <c r="CS77" s="204"/>
      <c r="CT77" s="204"/>
      <c r="CU77" s="204"/>
      <c r="CV77" s="204"/>
      <c r="CW77" s="204"/>
      <c r="CX77" s="204"/>
      <c r="CY77" s="204"/>
      <c r="CZ77" s="204"/>
      <c r="DA77" s="204"/>
      <c r="DB77" s="204"/>
      <c r="DC77" s="204"/>
      <c r="DD77" s="204"/>
      <c r="DE77" s="204"/>
      <c r="DF77" s="204"/>
      <c r="DG77" s="204"/>
      <c r="DH77" s="204"/>
      <c r="DI77" s="204"/>
      <c r="DJ77" s="204"/>
      <c r="DK77" s="204"/>
      <c r="DL77" s="204"/>
      <c r="DM77" s="204"/>
      <c r="DN77" s="204"/>
      <c r="DO77" s="204"/>
      <c r="DP77" s="204"/>
      <c r="DQ77" s="204"/>
      <c r="DR77" s="204"/>
      <c r="DS77" s="204"/>
      <c r="DT77" s="204"/>
      <c r="DU77" s="204"/>
      <c r="DV77" s="204"/>
      <c r="DW77" s="204"/>
      <c r="DX77" s="204"/>
      <c r="DY77" s="204"/>
      <c r="DZ77" s="204"/>
      <c r="EA77" s="204"/>
      <c r="EB77" s="204"/>
      <c r="EC77" s="204"/>
      <c r="ED77" s="204"/>
      <c r="EE77" s="204"/>
      <c r="EF77" s="204"/>
      <c r="EG77" s="204"/>
      <c r="EH77" s="204"/>
      <c r="EI77" s="204"/>
      <c r="EJ77" s="204"/>
      <c r="EK77" s="204"/>
      <c r="EL77" s="204"/>
      <c r="EM77" s="204"/>
      <c r="EN77" s="204"/>
      <c r="EO77" s="204"/>
      <c r="EP77" s="204"/>
      <c r="EQ77" s="204"/>
      <c r="ER77" s="204"/>
      <c r="ES77" s="204"/>
      <c r="ET77" s="204"/>
      <c r="EU77" s="204"/>
      <c r="EV77" s="204"/>
      <c r="EW77" s="204"/>
      <c r="EX77" s="204"/>
      <c r="EY77" s="204"/>
      <c r="EZ77" s="204"/>
      <c r="FA77" s="204"/>
      <c r="FB77" s="204"/>
      <c r="FC77" s="204"/>
      <c r="FD77" s="204"/>
      <c r="FE77" s="204"/>
      <c r="FF77" s="204"/>
      <c r="FG77" s="204"/>
      <c r="FH77" s="204"/>
      <c r="FI77" s="204"/>
      <c r="FJ77" s="204"/>
      <c r="FK77" s="204"/>
      <c r="FL77" s="204"/>
      <c r="FM77" s="204"/>
      <c r="FN77" s="204"/>
      <c r="FO77" s="204"/>
      <c r="FP77" s="204"/>
      <c r="FQ77" s="204"/>
      <c r="FR77" s="204"/>
      <c r="FS77" s="204"/>
      <c r="FT77" s="204"/>
      <c r="FU77" s="204"/>
      <c r="FV77" s="204"/>
      <c r="FW77" s="204"/>
      <c r="FX77" s="204"/>
      <c r="FY77" s="204"/>
      <c r="FZ77" s="204"/>
      <c r="GA77" s="204"/>
      <c r="GB77" s="204"/>
      <c r="GC77" s="204"/>
      <c r="GD77" s="204"/>
      <c r="GE77" s="204"/>
      <c r="GF77" s="204"/>
      <c r="GG77" s="204"/>
      <c r="GH77" s="204"/>
      <c r="GI77" s="204" t="str">
        <f>G77 &amp; " " &amp; IF(M77="","",TEXT(M77,"M/D-")) &amp; IF(N77="","",TEXT(N77,"M/D")) &amp; " "</f>
        <v xml:space="preserve">구현준비 5/14-5/30 </v>
      </c>
      <c r="GJ77" s="194" t="str">
        <f>TEXT(AB77,"#0.00%") &amp; " "</f>
        <v xml:space="preserve">0.00% </v>
      </c>
      <c r="GK77" s="204"/>
      <c r="GL77" s="204"/>
      <c r="GM77" s="204"/>
      <c r="GN77" s="204"/>
      <c r="GO77" s="204"/>
      <c r="GP77" s="204"/>
      <c r="GQ77" s="204"/>
      <c r="GR77" s="204"/>
      <c r="GS77" s="204"/>
      <c r="GT77" s="204"/>
      <c r="GU77" s="204"/>
      <c r="GV77" s="204"/>
      <c r="GW77" s="204"/>
      <c r="GX77" s="204"/>
      <c r="GY77" s="204"/>
      <c r="GZ77" s="204"/>
      <c r="HA77" s="204"/>
      <c r="HB77" s="204"/>
      <c r="HC77" s="204"/>
      <c r="HD77" s="204"/>
      <c r="HE77" s="204"/>
      <c r="HF77" s="204"/>
      <c r="HG77" s="204"/>
      <c r="HH77" s="204"/>
      <c r="HI77" s="204"/>
      <c r="HJ77" s="204"/>
      <c r="HK77" s="204"/>
      <c r="HL77" s="204"/>
      <c r="HM77" s="204"/>
      <c r="HN77" s="204"/>
      <c r="HO77" s="204"/>
      <c r="HP77" s="204"/>
      <c r="HQ77" s="204"/>
    </row>
    <row r="78" spans="1:225" ht="13.2">
      <c r="A78" s="168"/>
      <c r="B78" s="168"/>
      <c r="C78" s="168">
        <v>4</v>
      </c>
      <c r="D78" s="178" t="s">
        <v>1054</v>
      </c>
      <c r="E78" s="169"/>
      <c r="F78" s="169"/>
      <c r="G78" s="169"/>
      <c r="H78" s="169" t="s">
        <v>994</v>
      </c>
      <c r="I78" s="169"/>
      <c r="J78" s="169"/>
      <c r="K78" s="169"/>
      <c r="L78" s="169"/>
      <c r="M78" s="146">
        <v>43599</v>
      </c>
      <c r="N78" s="146">
        <v>43615</v>
      </c>
      <c r="O78" s="169"/>
      <c r="P78" s="170">
        <v>3</v>
      </c>
      <c r="Q78" s="170">
        <v>0</v>
      </c>
      <c r="R78" s="171" t="e">
        <f ca="1">IF(M78="","0",(N78-M78+1)-COUNTIFS(INDIRECT(getCalendarRange(O78)),"&gt;=" &amp; M78,INDIRECT(getCalendarRange(O78)),"&lt;=" &amp; N78))</f>
        <v>#NAME?</v>
      </c>
      <c r="S78" s="171">
        <f ca="1">IF(M78&gt;TODAY(),0,IF(N78&lt;TODAY(),R78,(TODAY()-M78+1)-COUNTIFS(INDIRECT(getCalendarRange(O78)),"&gt;=" &amp; M78,INDIRECT(getCalendarRange(O78)),"&lt;=" &amp; TODAY())))</f>
        <v>0</v>
      </c>
      <c r="T78" s="146"/>
      <c r="U78" s="146"/>
      <c r="V78" s="172"/>
      <c r="W78" s="173" t="str">
        <f ca="1">IF(U78="","0",IF(T78="","0",(U78-T78+1)-COUNTIFS(INDIRECT(getCalendarRange(O78)),"&gt;=" &amp; T78,INDIRECT(getCalendarRange(O78)),"&lt;=" &amp; U78)))</f>
        <v>0</v>
      </c>
      <c r="X78" s="174">
        <v>1</v>
      </c>
      <c r="Y78" s="211" t="s">
        <v>1192</v>
      </c>
      <c r="Z78" s="175"/>
      <c r="AA78" s="176">
        <v>0</v>
      </c>
      <c r="AB78" s="177">
        <v>0</v>
      </c>
      <c r="AD78" s="205"/>
      <c r="AE78" s="204"/>
      <c r="AF78" s="204"/>
      <c r="AG78" s="204"/>
      <c r="AH78" s="204"/>
      <c r="AI78" s="204"/>
      <c r="AJ78" s="204"/>
      <c r="AK78" s="204"/>
      <c r="AL78" s="204"/>
      <c r="AM78" s="204"/>
      <c r="AN78" s="204"/>
      <c r="AO78" s="204"/>
      <c r="AP78" s="204"/>
      <c r="AQ78" s="204"/>
      <c r="AR78" s="204"/>
      <c r="AS78" s="204"/>
      <c r="AT78" s="204"/>
      <c r="AU78" s="204"/>
      <c r="AV78" s="204"/>
      <c r="AW78" s="204"/>
      <c r="AX78" s="204"/>
      <c r="AY78" s="204"/>
      <c r="AZ78" s="204"/>
      <c r="BA78" s="204"/>
      <c r="BB78" s="204"/>
      <c r="BC78" s="204"/>
      <c r="BD78" s="204"/>
      <c r="BE78" s="204"/>
      <c r="BF78" s="204"/>
      <c r="BG78" s="204"/>
      <c r="BH78" s="204"/>
      <c r="BI78" s="204"/>
      <c r="BJ78" s="204"/>
      <c r="BK78" s="204"/>
      <c r="BL78" s="204"/>
      <c r="BM78" s="204"/>
      <c r="BN78" s="204"/>
      <c r="BO78" s="204"/>
      <c r="BP78" s="204"/>
      <c r="BQ78" s="204"/>
      <c r="BR78" s="204"/>
      <c r="BS78" s="204"/>
      <c r="BT78" s="204"/>
      <c r="BU78" s="204"/>
      <c r="BV78" s="204"/>
      <c r="BW78" s="204"/>
      <c r="BX78" s="204"/>
      <c r="BY78" s="204"/>
      <c r="BZ78" s="204"/>
      <c r="CA78" s="204"/>
      <c r="CB78" s="204"/>
      <c r="CC78" s="204"/>
      <c r="CD78" s="204"/>
      <c r="CE78" s="204"/>
      <c r="CF78" s="204"/>
      <c r="CG78" s="204"/>
      <c r="CH78" s="204"/>
      <c r="CI78" s="204"/>
      <c r="CJ78" s="204"/>
      <c r="CK78" s="204"/>
      <c r="CL78" s="204"/>
      <c r="CM78" s="204"/>
      <c r="CN78" s="204"/>
      <c r="CO78" s="204"/>
      <c r="CP78" s="204"/>
      <c r="CQ78" s="204"/>
      <c r="CR78" s="204"/>
      <c r="CS78" s="204"/>
      <c r="CT78" s="204"/>
      <c r="CU78" s="204"/>
      <c r="CV78" s="204"/>
      <c r="CW78" s="204"/>
      <c r="CX78" s="204"/>
      <c r="CY78" s="204"/>
      <c r="CZ78" s="204"/>
      <c r="DA78" s="204"/>
      <c r="DB78" s="204"/>
      <c r="DC78" s="204"/>
      <c r="DD78" s="204"/>
      <c r="DE78" s="204"/>
      <c r="DF78" s="204"/>
      <c r="DG78" s="204"/>
      <c r="DH78" s="204"/>
      <c r="DI78" s="204"/>
      <c r="DJ78" s="204"/>
      <c r="DK78" s="204"/>
      <c r="DL78" s="204"/>
      <c r="DM78" s="204"/>
      <c r="DN78" s="204"/>
      <c r="DO78" s="204"/>
      <c r="DP78" s="204"/>
      <c r="DQ78" s="204"/>
      <c r="DR78" s="204"/>
      <c r="DS78" s="204"/>
      <c r="DT78" s="204"/>
      <c r="DU78" s="204"/>
      <c r="DV78" s="204"/>
      <c r="DW78" s="204"/>
      <c r="DX78" s="204"/>
      <c r="DY78" s="204"/>
      <c r="DZ78" s="204"/>
      <c r="EA78" s="204"/>
      <c r="EB78" s="204"/>
      <c r="EC78" s="204"/>
      <c r="ED78" s="204"/>
      <c r="EE78" s="204"/>
      <c r="EF78" s="204"/>
      <c r="EG78" s="204"/>
      <c r="EH78" s="204"/>
      <c r="EI78" s="204"/>
      <c r="EJ78" s="204"/>
      <c r="EK78" s="204"/>
      <c r="EL78" s="204"/>
      <c r="EM78" s="204"/>
      <c r="EN78" s="204"/>
      <c r="EO78" s="204"/>
      <c r="EP78" s="204"/>
      <c r="EQ78" s="204"/>
      <c r="ER78" s="204"/>
      <c r="ES78" s="204"/>
      <c r="ET78" s="204"/>
      <c r="EU78" s="204"/>
      <c r="EV78" s="204"/>
      <c r="EW78" s="204"/>
      <c r="EX78" s="204"/>
      <c r="EY78" s="204"/>
      <c r="EZ78" s="204"/>
      <c r="FA78" s="204"/>
      <c r="FB78" s="204"/>
      <c r="FC78" s="204"/>
      <c r="FD78" s="204"/>
      <c r="FE78" s="204"/>
      <c r="FF78" s="204"/>
      <c r="FG78" s="204"/>
      <c r="FH78" s="204"/>
      <c r="FI78" s="204"/>
      <c r="FJ78" s="204"/>
      <c r="FK78" s="204"/>
      <c r="FL78" s="204"/>
      <c r="FM78" s="204"/>
      <c r="FN78" s="204"/>
      <c r="FO78" s="204"/>
      <c r="FP78" s="204"/>
      <c r="FQ78" s="204"/>
      <c r="FR78" s="204"/>
      <c r="FS78" s="204"/>
      <c r="FT78" s="204"/>
      <c r="FU78" s="204"/>
      <c r="FV78" s="204"/>
      <c r="FW78" s="204"/>
      <c r="FX78" s="204"/>
      <c r="FY78" s="204"/>
      <c r="FZ78" s="204"/>
      <c r="GA78" s="204"/>
      <c r="GB78" s="204"/>
      <c r="GC78" s="204"/>
      <c r="GD78" s="204"/>
      <c r="GE78" s="204"/>
      <c r="GF78" s="204"/>
      <c r="GG78" s="204"/>
      <c r="GH78" s="204"/>
      <c r="GI78" s="204" t="str">
        <f>H78 &amp; " " &amp; IF(M78="","",TEXT(M78,"M/D-")) &amp; IF(N78="","",TEXT(N78,"M/D")) &amp; " "</f>
        <v xml:space="preserve">Release 및 Contingency plan수립 5/14-5/30 </v>
      </c>
      <c r="GJ78" s="194" t="str">
        <f>TEXT(AB78,"#0.00%") &amp; " "</f>
        <v xml:space="preserve">0.00% </v>
      </c>
      <c r="GK78" s="204"/>
      <c r="GL78" s="204"/>
      <c r="GM78" s="204"/>
      <c r="GN78" s="204"/>
      <c r="GO78" s="204"/>
      <c r="GP78" s="204"/>
      <c r="GQ78" s="204"/>
      <c r="GR78" s="204"/>
      <c r="GS78" s="204"/>
      <c r="GT78" s="204"/>
      <c r="GU78" s="204"/>
      <c r="GV78" s="204"/>
      <c r="GW78" s="204"/>
      <c r="GX78" s="204"/>
      <c r="GY78" s="204"/>
      <c r="GZ78" s="204"/>
      <c r="HA78" s="204"/>
      <c r="HB78" s="204"/>
      <c r="HC78" s="204"/>
      <c r="HD78" s="204"/>
      <c r="HE78" s="204"/>
      <c r="HF78" s="204"/>
      <c r="HG78" s="204"/>
      <c r="HH78" s="204"/>
      <c r="HI78" s="204"/>
      <c r="HJ78" s="204"/>
      <c r="HK78" s="204"/>
      <c r="HL78" s="204"/>
      <c r="HM78" s="204"/>
      <c r="HN78" s="204"/>
      <c r="HO78" s="204"/>
      <c r="HP78" s="204"/>
      <c r="HQ78" s="204"/>
    </row>
    <row r="79" spans="1:225" ht="13.2">
      <c r="A79" s="168"/>
      <c r="B79" s="168" t="s">
        <v>1069</v>
      </c>
      <c r="C79" s="168">
        <v>3</v>
      </c>
      <c r="D79" s="178" t="s">
        <v>1087</v>
      </c>
      <c r="E79" s="169"/>
      <c r="F79" s="169"/>
      <c r="G79" s="169" t="s">
        <v>995</v>
      </c>
      <c r="H79" s="169"/>
      <c r="I79" s="169"/>
      <c r="J79" s="169"/>
      <c r="K79" s="169"/>
      <c r="L79" s="169"/>
      <c r="M79" s="146">
        <v>43615</v>
      </c>
      <c r="N79" s="146">
        <v>43617</v>
      </c>
      <c r="O79" s="169"/>
      <c r="P79" s="170">
        <v>4</v>
      </c>
      <c r="Q79" s="170">
        <v>0</v>
      </c>
      <c r="R79" s="171" t="e">
        <f ca="1">IF(M79="","0",(N79-M79+1)-COUNTIFS(INDIRECT(getCalendarRange(O79)),"&gt;=" &amp; M79,INDIRECT(getCalendarRange(O79)),"&lt;=" &amp; N79))</f>
        <v>#NAME?</v>
      </c>
      <c r="S79" s="171">
        <f ca="1">IF(M79&gt;TODAY(),0,IF(N79&lt;TODAY(),R79,(TODAY()-M79+1)-COUNTIFS(INDIRECT(getCalendarRange(O79)),"&gt;=" &amp; M79,INDIRECT(getCalendarRange(O79)),"&lt;=" &amp; TODAY())))</f>
        <v>0</v>
      </c>
      <c r="T79" s="146"/>
      <c r="U79" s="146"/>
      <c r="V79" s="172">
        <v>0</v>
      </c>
      <c r="W79" s="173" t="str">
        <f ca="1">IF(U79="","0",IF(T79="","0",(U79-T79+1)-COUNTIFS(INDIRECT(getCalendarRange(O79)),"&gt;=" &amp; T79,INDIRECT(getCalendarRange(O79)),"&lt;=" &amp; U79)))</f>
        <v>0</v>
      </c>
      <c r="X79" s="174">
        <v>1</v>
      </c>
      <c r="Y79" s="169" t="s">
        <v>1194</v>
      </c>
      <c r="Z79" s="175"/>
      <c r="AA79" s="176">
        <v>0</v>
      </c>
      <c r="AB79" s="177">
        <v>0</v>
      </c>
      <c r="AD79" s="205"/>
      <c r="AE79" s="204"/>
      <c r="AF79" s="204"/>
      <c r="AG79" s="204"/>
      <c r="AH79" s="204"/>
      <c r="AI79" s="204"/>
      <c r="AJ79" s="204"/>
      <c r="AK79" s="204"/>
      <c r="AL79" s="204"/>
      <c r="AM79" s="204"/>
      <c r="AN79" s="204"/>
      <c r="AO79" s="204"/>
      <c r="AP79" s="204"/>
      <c r="AQ79" s="204"/>
      <c r="AR79" s="204"/>
      <c r="AS79" s="204"/>
      <c r="AT79" s="204"/>
      <c r="AU79" s="204"/>
      <c r="AV79" s="204"/>
      <c r="AW79" s="204"/>
      <c r="AX79" s="204"/>
      <c r="AY79" s="204"/>
      <c r="AZ79" s="204"/>
      <c r="BA79" s="204"/>
      <c r="BB79" s="204"/>
      <c r="BC79" s="204"/>
      <c r="BD79" s="204"/>
      <c r="BE79" s="204"/>
      <c r="BF79" s="204"/>
      <c r="BG79" s="204"/>
      <c r="BH79" s="204"/>
      <c r="BI79" s="204"/>
      <c r="BJ79" s="204"/>
      <c r="BK79" s="204"/>
      <c r="BL79" s="204"/>
      <c r="BM79" s="204"/>
      <c r="BN79" s="204"/>
      <c r="BO79" s="204"/>
      <c r="BP79" s="204"/>
      <c r="BQ79" s="204"/>
      <c r="BR79" s="204"/>
      <c r="BS79" s="204"/>
      <c r="BT79" s="204"/>
      <c r="BU79" s="204"/>
      <c r="BV79" s="204"/>
      <c r="BW79" s="204"/>
      <c r="BX79" s="204"/>
      <c r="BY79" s="204"/>
      <c r="BZ79" s="204"/>
      <c r="CA79" s="204"/>
      <c r="CB79" s="204"/>
      <c r="CC79" s="204"/>
      <c r="CD79" s="204"/>
      <c r="CE79" s="204"/>
      <c r="CF79" s="204"/>
      <c r="CG79" s="204"/>
      <c r="CH79" s="204"/>
      <c r="CI79" s="204"/>
      <c r="CJ79" s="204"/>
      <c r="CK79" s="204"/>
      <c r="CL79" s="204"/>
      <c r="CM79" s="204"/>
      <c r="CN79" s="204"/>
      <c r="CO79" s="204"/>
      <c r="CP79" s="204"/>
      <c r="CQ79" s="204"/>
      <c r="CR79" s="204"/>
      <c r="CS79" s="204"/>
      <c r="CT79" s="204"/>
      <c r="CU79" s="204"/>
      <c r="CV79" s="204"/>
      <c r="CW79" s="204"/>
      <c r="CX79" s="204"/>
      <c r="CY79" s="204"/>
      <c r="CZ79" s="204"/>
      <c r="DA79" s="204"/>
      <c r="DB79" s="204"/>
      <c r="DC79" s="204"/>
      <c r="DD79" s="204"/>
      <c r="DE79" s="204"/>
      <c r="DF79" s="204"/>
      <c r="DG79" s="204"/>
      <c r="DH79" s="204"/>
      <c r="DI79" s="204"/>
      <c r="DJ79" s="204"/>
      <c r="DK79" s="204"/>
      <c r="DL79" s="204"/>
      <c r="DM79" s="204"/>
      <c r="DN79" s="204"/>
      <c r="DO79" s="204"/>
      <c r="DP79" s="204"/>
      <c r="DQ79" s="204"/>
      <c r="DR79" s="204"/>
      <c r="DS79" s="204"/>
      <c r="DT79" s="204"/>
      <c r="DU79" s="204"/>
      <c r="DV79" s="204"/>
      <c r="DW79" s="204"/>
      <c r="DX79" s="204"/>
      <c r="DY79" s="204"/>
      <c r="DZ79" s="204"/>
      <c r="EA79" s="204"/>
      <c r="EB79" s="204"/>
      <c r="EC79" s="204"/>
      <c r="ED79" s="204"/>
      <c r="EE79" s="204"/>
      <c r="EF79" s="204"/>
      <c r="EG79" s="204"/>
      <c r="EH79" s="204"/>
      <c r="EI79" s="204"/>
      <c r="EJ79" s="204"/>
      <c r="EK79" s="204"/>
      <c r="EL79" s="204"/>
      <c r="EM79" s="204"/>
      <c r="EN79" s="204"/>
      <c r="EO79" s="204"/>
      <c r="EP79" s="204"/>
      <c r="EQ79" s="204"/>
      <c r="ER79" s="204"/>
      <c r="ES79" s="204"/>
      <c r="ET79" s="204"/>
      <c r="EU79" s="204"/>
      <c r="EV79" s="204"/>
      <c r="EW79" s="204"/>
      <c r="EX79" s="204"/>
      <c r="EY79" s="204"/>
      <c r="EZ79" s="204"/>
      <c r="FA79" s="204"/>
      <c r="FB79" s="204"/>
      <c r="FC79" s="204"/>
      <c r="FD79" s="204"/>
      <c r="FE79" s="204"/>
      <c r="FF79" s="204"/>
      <c r="FG79" s="204"/>
      <c r="FH79" s="204"/>
      <c r="FI79" s="204"/>
      <c r="FJ79" s="204"/>
      <c r="FK79" s="204"/>
      <c r="FL79" s="204"/>
      <c r="FM79" s="204"/>
      <c r="FN79" s="204"/>
      <c r="FO79" s="204"/>
      <c r="FP79" s="204"/>
      <c r="FQ79" s="204"/>
      <c r="FR79" s="204"/>
      <c r="FS79" s="204"/>
      <c r="FT79" s="204"/>
      <c r="FU79" s="204"/>
      <c r="FV79" s="204"/>
      <c r="FW79" s="204"/>
      <c r="FX79" s="204"/>
      <c r="FY79" s="204"/>
      <c r="FZ79" s="204"/>
      <c r="GA79" s="204"/>
      <c r="GB79" s="204"/>
      <c r="GC79" s="204"/>
      <c r="GD79" s="204"/>
      <c r="GE79" s="204"/>
      <c r="GF79" s="204"/>
      <c r="GG79" s="204"/>
      <c r="GH79" s="204"/>
      <c r="GI79" s="204"/>
      <c r="GJ79" s="204"/>
      <c r="GK79" s="204"/>
      <c r="GL79" s="204"/>
      <c r="GM79" s="204" t="str">
        <f>G79 &amp; " " &amp; IF(M79="","",TEXT(M79,"M/D-")) &amp; IF(N79="","",TEXT(N79,"M/D")) &amp; " "</f>
        <v xml:space="preserve">Conversion 및 Release 5/30-6/1 </v>
      </c>
      <c r="GN79" s="194" t="str">
        <f>TEXT(AB79,"#0.00%") &amp; " "</f>
        <v xml:space="preserve">0.00% </v>
      </c>
      <c r="GO79" s="204"/>
      <c r="GP79" s="204"/>
      <c r="GQ79" s="204"/>
      <c r="GR79" s="204"/>
      <c r="GS79" s="204"/>
      <c r="GT79" s="204"/>
      <c r="GU79" s="204"/>
      <c r="GV79" s="204"/>
      <c r="GW79" s="204"/>
      <c r="GX79" s="204"/>
      <c r="GY79" s="204"/>
      <c r="GZ79" s="204"/>
      <c r="HA79" s="204"/>
      <c r="HB79" s="204"/>
      <c r="HC79" s="204"/>
      <c r="HD79" s="204"/>
      <c r="HE79" s="204"/>
      <c r="HF79" s="204"/>
      <c r="HG79" s="204"/>
      <c r="HH79" s="204"/>
      <c r="HI79" s="204"/>
      <c r="HJ79" s="204"/>
      <c r="HK79" s="204"/>
      <c r="HL79" s="204"/>
      <c r="HM79" s="204"/>
      <c r="HN79" s="204"/>
      <c r="HO79" s="204"/>
      <c r="HP79" s="204"/>
      <c r="HQ79" s="204"/>
    </row>
    <row r="80" spans="1:225" ht="13.2">
      <c r="A80" s="168"/>
      <c r="B80" s="168"/>
      <c r="C80" s="168"/>
      <c r="D80" s="178"/>
      <c r="E80" s="169"/>
      <c r="F80" s="169"/>
      <c r="G80" s="169"/>
      <c r="H80" s="169"/>
      <c r="I80" s="169"/>
      <c r="J80" s="169"/>
      <c r="K80" s="169"/>
      <c r="L80" s="169"/>
      <c r="M80" s="146"/>
      <c r="N80" s="146"/>
      <c r="O80" s="169"/>
      <c r="P80" s="170"/>
      <c r="Q80" s="170"/>
      <c r="R80" s="171"/>
      <c r="S80" s="171"/>
      <c r="T80" s="146"/>
      <c r="U80" s="146"/>
      <c r="V80" s="172"/>
      <c r="W80" s="173"/>
      <c r="X80" s="174"/>
      <c r="Y80" s="211"/>
      <c r="Z80" s="175"/>
      <c r="AA80" s="176"/>
      <c r="AB80" s="177"/>
      <c r="AD80" s="205"/>
      <c r="AE80" s="204"/>
      <c r="AF80" s="204"/>
      <c r="AG80" s="204"/>
      <c r="AH80" s="204"/>
      <c r="AI80" s="204"/>
      <c r="AJ80" s="204"/>
      <c r="AK80" s="204"/>
      <c r="AL80" s="204"/>
      <c r="AM80" s="204"/>
      <c r="AN80" s="204"/>
      <c r="AO80" s="204"/>
      <c r="AP80" s="204"/>
      <c r="AQ80" s="204"/>
      <c r="AR80" s="204"/>
      <c r="AS80" s="204"/>
      <c r="AT80" s="204"/>
      <c r="AU80" s="204"/>
      <c r="AV80" s="204"/>
      <c r="AW80" s="204"/>
      <c r="AX80" s="204"/>
      <c r="AY80" s="204"/>
      <c r="AZ80" s="204"/>
      <c r="BA80" s="204"/>
      <c r="BB80" s="204"/>
      <c r="BC80" s="204"/>
      <c r="BD80" s="204"/>
      <c r="BE80" s="204"/>
      <c r="BF80" s="204"/>
      <c r="BG80" s="204"/>
      <c r="BH80" s="204"/>
      <c r="BI80" s="204"/>
      <c r="BJ80" s="204"/>
      <c r="BK80" s="204"/>
      <c r="BL80" s="204"/>
      <c r="BM80" s="204"/>
      <c r="BN80" s="204"/>
      <c r="BO80" s="204"/>
      <c r="BP80" s="204"/>
      <c r="BQ80" s="204"/>
      <c r="BR80" s="204"/>
      <c r="BS80" s="204"/>
      <c r="BT80" s="204"/>
      <c r="BU80" s="204"/>
      <c r="BV80" s="204"/>
      <c r="BW80" s="204"/>
      <c r="BX80" s="204"/>
      <c r="BY80" s="204"/>
      <c r="BZ80" s="204"/>
      <c r="CA80" s="204"/>
      <c r="CB80" s="204"/>
      <c r="CC80" s="204"/>
      <c r="CD80" s="204"/>
      <c r="CE80" s="204"/>
      <c r="CF80" s="204"/>
      <c r="CG80" s="204"/>
      <c r="CH80" s="204"/>
      <c r="CI80" s="204"/>
      <c r="CJ80" s="204"/>
      <c r="CK80" s="204"/>
      <c r="CL80" s="204"/>
      <c r="CM80" s="204"/>
      <c r="CN80" s="204"/>
      <c r="CO80" s="204"/>
      <c r="CP80" s="204"/>
      <c r="CQ80" s="204"/>
      <c r="CR80" s="204"/>
      <c r="CS80" s="204"/>
      <c r="CT80" s="204"/>
      <c r="CU80" s="204"/>
      <c r="CV80" s="204"/>
      <c r="CW80" s="204"/>
      <c r="CX80" s="204"/>
      <c r="CY80" s="204"/>
      <c r="CZ80" s="204"/>
      <c r="DA80" s="204"/>
      <c r="DB80" s="204"/>
      <c r="DC80" s="204"/>
      <c r="DD80" s="204"/>
      <c r="DE80" s="204"/>
      <c r="DF80" s="204"/>
      <c r="DG80" s="204"/>
      <c r="DH80" s="204"/>
      <c r="DI80" s="204"/>
      <c r="DJ80" s="204"/>
      <c r="DK80" s="204"/>
      <c r="DL80" s="204"/>
      <c r="DM80" s="204"/>
      <c r="DN80" s="204"/>
      <c r="DO80" s="204"/>
      <c r="DP80" s="204"/>
      <c r="DQ80" s="204"/>
      <c r="DR80" s="204"/>
      <c r="DS80" s="204"/>
      <c r="DT80" s="204"/>
      <c r="DU80" s="204"/>
      <c r="DV80" s="204"/>
      <c r="DW80" s="204"/>
      <c r="DX80" s="204"/>
      <c r="DY80" s="204"/>
      <c r="DZ80" s="204"/>
      <c r="EA80" s="204"/>
      <c r="EB80" s="204"/>
      <c r="EC80" s="204"/>
      <c r="ED80" s="204"/>
      <c r="EE80" s="204"/>
      <c r="EF80" s="204"/>
      <c r="EG80" s="204"/>
      <c r="EH80" s="204"/>
      <c r="EI80" s="204"/>
      <c r="EJ80" s="204"/>
      <c r="EK80" s="204"/>
      <c r="EL80" s="204"/>
      <c r="EM80" s="204"/>
      <c r="EN80" s="204"/>
      <c r="EO80" s="204"/>
      <c r="EP80" s="204"/>
      <c r="EQ80" s="204"/>
      <c r="ER80" s="204"/>
      <c r="ES80" s="204"/>
      <c r="ET80" s="204"/>
      <c r="EU80" s="204"/>
      <c r="EV80" s="204"/>
      <c r="EW80" s="204"/>
      <c r="EX80" s="204"/>
      <c r="EY80" s="204"/>
      <c r="EZ80" s="204"/>
      <c r="FA80" s="204"/>
      <c r="FB80" s="204"/>
      <c r="FC80" s="204"/>
      <c r="FD80" s="204"/>
      <c r="FE80" s="204"/>
      <c r="FF80" s="204"/>
      <c r="FG80" s="204"/>
      <c r="FH80" s="204"/>
      <c r="FI80" s="204"/>
      <c r="FJ80" s="204"/>
      <c r="FK80" s="204"/>
      <c r="FL80" s="204"/>
      <c r="FM80" s="204"/>
      <c r="FN80" s="204"/>
      <c r="FO80" s="204"/>
      <c r="FP80" s="204"/>
      <c r="FQ80" s="204"/>
      <c r="FR80" s="204"/>
      <c r="FS80" s="204"/>
      <c r="FT80" s="204"/>
      <c r="FU80" s="204"/>
      <c r="FV80" s="204"/>
      <c r="FW80" s="204"/>
      <c r="FX80" s="204"/>
      <c r="FY80" s="204"/>
      <c r="FZ80" s="204"/>
      <c r="GA80" s="204"/>
      <c r="GB80" s="204"/>
      <c r="GC80" s="204"/>
      <c r="GD80" s="204"/>
      <c r="GE80" s="204"/>
      <c r="GF80" s="204"/>
      <c r="GG80" s="204"/>
      <c r="GH80" s="204"/>
      <c r="GI80" s="204"/>
      <c r="GJ80" s="204"/>
      <c r="GK80" s="204"/>
      <c r="GL80" s="204"/>
      <c r="GM80" s="204"/>
      <c r="GN80" s="194"/>
      <c r="GO80" s="204"/>
      <c r="GP80" s="204"/>
      <c r="GQ80" s="204"/>
      <c r="GR80" s="204"/>
      <c r="GS80" s="204"/>
      <c r="GT80" s="204"/>
      <c r="GU80" s="204"/>
      <c r="GV80" s="204"/>
      <c r="GW80" s="204"/>
      <c r="GX80" s="204"/>
      <c r="GY80" s="204"/>
      <c r="GZ80" s="204"/>
      <c r="HA80" s="204"/>
      <c r="HB80" s="204"/>
      <c r="HC80" s="204"/>
      <c r="HD80" s="204"/>
      <c r="HE80" s="204"/>
      <c r="HF80" s="204"/>
      <c r="HG80" s="204"/>
      <c r="HH80" s="204"/>
      <c r="HI80" s="204"/>
      <c r="HJ80" s="204"/>
      <c r="HK80" s="204"/>
      <c r="HL80" s="204"/>
      <c r="HM80" s="204"/>
      <c r="HN80" s="204"/>
      <c r="HO80" s="204"/>
      <c r="HP80" s="204"/>
      <c r="HQ80" s="204"/>
    </row>
    <row r="81" spans="1:225" ht="13.2">
      <c r="A81" s="168"/>
      <c r="B81" s="168"/>
      <c r="C81" s="168"/>
      <c r="D81" s="178"/>
      <c r="E81" s="169"/>
      <c r="F81" s="169"/>
      <c r="G81" s="169"/>
      <c r="H81" s="211"/>
      <c r="I81" s="169"/>
      <c r="J81" s="169"/>
      <c r="K81" s="169"/>
      <c r="L81" s="169"/>
      <c r="M81" s="146"/>
      <c r="N81" s="146"/>
      <c r="O81" s="169"/>
      <c r="P81" s="170"/>
      <c r="Q81" s="170"/>
      <c r="R81" s="171"/>
      <c r="S81" s="171"/>
      <c r="T81" s="146"/>
      <c r="U81" s="146"/>
      <c r="V81" s="172"/>
      <c r="W81" s="173"/>
      <c r="X81" s="174"/>
      <c r="Y81" s="211"/>
      <c r="Z81" s="175"/>
      <c r="AA81" s="176"/>
      <c r="AB81" s="177"/>
      <c r="AD81" s="205"/>
      <c r="AE81" s="204"/>
      <c r="AF81" s="204"/>
      <c r="AG81" s="204"/>
      <c r="AH81" s="204"/>
      <c r="AI81" s="204"/>
      <c r="AJ81" s="204"/>
      <c r="AK81" s="204"/>
      <c r="AL81" s="204"/>
      <c r="AM81" s="204"/>
      <c r="AN81" s="204"/>
      <c r="AO81" s="204"/>
      <c r="AP81" s="204"/>
      <c r="AQ81" s="204"/>
      <c r="AR81" s="204"/>
      <c r="AS81" s="204"/>
      <c r="AT81" s="204"/>
      <c r="AU81" s="204"/>
      <c r="AV81" s="204"/>
      <c r="AW81" s="204"/>
      <c r="AX81" s="204"/>
      <c r="AY81" s="204"/>
      <c r="AZ81" s="204"/>
      <c r="BA81" s="204"/>
      <c r="BB81" s="204"/>
      <c r="BC81" s="204"/>
      <c r="BD81" s="204"/>
      <c r="BE81" s="204"/>
      <c r="BF81" s="204"/>
      <c r="BG81" s="204"/>
      <c r="BH81" s="204"/>
      <c r="BI81" s="204"/>
      <c r="BJ81" s="204"/>
      <c r="BK81" s="204"/>
      <c r="BL81" s="204"/>
      <c r="BM81" s="204"/>
      <c r="BN81" s="204"/>
      <c r="BO81" s="204"/>
      <c r="BP81" s="204"/>
      <c r="BQ81" s="204"/>
      <c r="BR81" s="204"/>
      <c r="BS81" s="204"/>
      <c r="BT81" s="204"/>
      <c r="BU81" s="204"/>
      <c r="BV81" s="204"/>
      <c r="BW81" s="204"/>
      <c r="BX81" s="204"/>
      <c r="BY81" s="204"/>
      <c r="BZ81" s="204"/>
      <c r="CA81" s="204"/>
      <c r="CB81" s="204"/>
      <c r="CC81" s="204"/>
      <c r="CD81" s="204"/>
      <c r="CE81" s="204"/>
      <c r="CF81" s="204"/>
      <c r="CG81" s="204"/>
      <c r="CH81" s="204"/>
      <c r="CI81" s="204"/>
      <c r="CJ81" s="204"/>
      <c r="CK81" s="204"/>
      <c r="CL81" s="204"/>
      <c r="CM81" s="204"/>
      <c r="CN81" s="204"/>
      <c r="CO81" s="204"/>
      <c r="CP81" s="204"/>
      <c r="CQ81" s="204"/>
      <c r="CR81" s="204"/>
      <c r="CS81" s="204"/>
      <c r="CT81" s="204"/>
      <c r="CU81" s="204"/>
      <c r="CV81" s="204"/>
      <c r="CW81" s="204"/>
      <c r="CX81" s="204"/>
      <c r="CY81" s="204"/>
      <c r="CZ81" s="204"/>
      <c r="DA81" s="204"/>
      <c r="DB81" s="204"/>
      <c r="DC81" s="204"/>
      <c r="DD81" s="204"/>
      <c r="DE81" s="204"/>
      <c r="DF81" s="204"/>
      <c r="DG81" s="204"/>
      <c r="DH81" s="204"/>
      <c r="DI81" s="204"/>
      <c r="DJ81" s="204"/>
      <c r="DK81" s="204"/>
      <c r="DL81" s="204"/>
      <c r="DM81" s="204"/>
      <c r="DN81" s="204"/>
      <c r="DO81" s="204"/>
      <c r="DP81" s="204"/>
      <c r="DQ81" s="204"/>
      <c r="DR81" s="204"/>
      <c r="DS81" s="204"/>
      <c r="DT81" s="204"/>
      <c r="DU81" s="204"/>
      <c r="DV81" s="204"/>
      <c r="DW81" s="204"/>
      <c r="DX81" s="204"/>
      <c r="DY81" s="204"/>
      <c r="DZ81" s="204"/>
      <c r="EA81" s="204"/>
      <c r="EB81" s="204"/>
      <c r="EC81" s="204"/>
      <c r="ED81" s="204"/>
      <c r="EE81" s="204"/>
      <c r="EF81" s="204"/>
      <c r="EG81" s="204"/>
      <c r="EH81" s="204"/>
      <c r="EI81" s="204"/>
      <c r="EJ81" s="204"/>
      <c r="EK81" s="204"/>
      <c r="EL81" s="204"/>
      <c r="EM81" s="204"/>
      <c r="EN81" s="204"/>
      <c r="EO81" s="204"/>
      <c r="EP81" s="204"/>
      <c r="EQ81" s="204"/>
      <c r="ER81" s="204"/>
      <c r="ES81" s="204"/>
      <c r="ET81" s="204"/>
      <c r="EU81" s="204"/>
      <c r="EV81" s="204"/>
      <c r="EW81" s="204"/>
      <c r="EX81" s="204"/>
      <c r="EY81" s="204"/>
      <c r="EZ81" s="204"/>
      <c r="FA81" s="204"/>
      <c r="FB81" s="204"/>
      <c r="FC81" s="204"/>
      <c r="FD81" s="204"/>
      <c r="FE81" s="204"/>
      <c r="FF81" s="204"/>
      <c r="FG81" s="204"/>
      <c r="FH81" s="204"/>
      <c r="FI81" s="204"/>
      <c r="FJ81" s="204"/>
      <c r="FK81" s="204"/>
      <c r="FL81" s="204"/>
      <c r="FM81" s="204"/>
      <c r="FN81" s="204"/>
      <c r="FO81" s="204"/>
      <c r="FP81" s="204"/>
      <c r="FQ81" s="204"/>
      <c r="FR81" s="204"/>
      <c r="FS81" s="204"/>
      <c r="FT81" s="204"/>
      <c r="FU81" s="204"/>
      <c r="FV81" s="204"/>
      <c r="FW81" s="204"/>
      <c r="FX81" s="204"/>
      <c r="FY81" s="204"/>
      <c r="FZ81" s="204"/>
      <c r="GA81" s="204"/>
      <c r="GB81" s="204"/>
      <c r="GC81" s="204"/>
      <c r="GD81" s="204"/>
      <c r="GE81" s="204"/>
      <c r="GF81" s="204"/>
      <c r="GG81" s="204"/>
      <c r="GH81" s="204"/>
      <c r="GI81" s="204"/>
      <c r="GJ81" s="204"/>
      <c r="GK81" s="204"/>
      <c r="GL81" s="204"/>
      <c r="GM81" s="204"/>
      <c r="GN81" s="194"/>
      <c r="GO81" s="204"/>
      <c r="GP81" s="204"/>
      <c r="GQ81" s="204"/>
      <c r="GR81" s="204"/>
      <c r="GS81" s="204"/>
      <c r="GT81" s="204"/>
      <c r="GU81" s="204"/>
      <c r="GV81" s="204"/>
      <c r="GW81" s="204"/>
      <c r="GX81" s="204"/>
      <c r="GY81" s="204"/>
      <c r="GZ81" s="204"/>
      <c r="HA81" s="204"/>
      <c r="HB81" s="204"/>
      <c r="HC81" s="204"/>
      <c r="HD81" s="204"/>
      <c r="HE81" s="204"/>
      <c r="HF81" s="204"/>
      <c r="HG81" s="204"/>
      <c r="HH81" s="204"/>
      <c r="HI81" s="204"/>
      <c r="HJ81" s="204"/>
      <c r="HK81" s="204"/>
      <c r="HL81" s="204"/>
      <c r="HM81" s="204"/>
      <c r="HN81" s="204"/>
      <c r="HO81" s="204"/>
      <c r="HP81" s="204"/>
      <c r="HQ81" s="204"/>
    </row>
    <row r="82" spans="1:225">
      <c r="A82" s="168"/>
      <c r="B82" s="168"/>
      <c r="C82" s="168"/>
      <c r="D82" s="178"/>
      <c r="E82" s="169"/>
      <c r="F82" s="169"/>
      <c r="G82" s="169"/>
      <c r="H82" s="169"/>
      <c r="I82" s="169"/>
      <c r="J82" s="169"/>
      <c r="K82" s="169"/>
      <c r="L82" s="169"/>
      <c r="M82" s="146"/>
      <c r="N82" s="146"/>
      <c r="O82" s="169"/>
      <c r="P82" s="170"/>
      <c r="Q82" s="170"/>
      <c r="R82" s="171"/>
      <c r="S82" s="171"/>
      <c r="T82" s="146"/>
      <c r="U82" s="146"/>
      <c r="V82" s="172"/>
      <c r="W82" s="173"/>
      <c r="X82" s="174"/>
      <c r="Y82" s="212"/>
      <c r="Z82" s="175"/>
      <c r="AA82" s="176"/>
      <c r="AB82" s="177"/>
      <c r="AD82" s="205"/>
      <c r="AE82" s="204"/>
      <c r="AF82" s="204"/>
      <c r="AG82" s="204"/>
      <c r="AH82" s="204"/>
      <c r="AI82" s="204"/>
      <c r="AJ82" s="204"/>
      <c r="AK82" s="204"/>
      <c r="AL82" s="204"/>
      <c r="AM82" s="204"/>
      <c r="AN82" s="204"/>
      <c r="AO82" s="204"/>
      <c r="AP82" s="204"/>
      <c r="AQ82" s="204"/>
      <c r="AR82" s="204"/>
      <c r="AS82" s="204"/>
      <c r="AT82" s="204"/>
      <c r="AU82" s="204"/>
      <c r="AV82" s="204"/>
      <c r="AW82" s="204"/>
      <c r="AX82" s="204"/>
      <c r="AY82" s="204"/>
      <c r="AZ82" s="204"/>
      <c r="BA82" s="204"/>
      <c r="BB82" s="204"/>
      <c r="BC82" s="204"/>
      <c r="BD82" s="204"/>
      <c r="BE82" s="204"/>
      <c r="BF82" s="204"/>
      <c r="BG82" s="204"/>
      <c r="BH82" s="204"/>
      <c r="BI82" s="204"/>
      <c r="BJ82" s="204"/>
      <c r="BK82" s="204"/>
      <c r="BL82" s="204"/>
      <c r="BM82" s="204"/>
      <c r="BN82" s="204"/>
      <c r="BO82" s="204"/>
      <c r="BP82" s="204"/>
      <c r="BQ82" s="204"/>
      <c r="BR82" s="204"/>
      <c r="BS82" s="204"/>
      <c r="BT82" s="204"/>
      <c r="BU82" s="204"/>
      <c r="BV82" s="204"/>
      <c r="BW82" s="204"/>
      <c r="BX82" s="204"/>
      <c r="BY82" s="204"/>
      <c r="BZ82" s="204"/>
      <c r="CA82" s="204"/>
      <c r="CB82" s="204"/>
      <c r="CC82" s="204"/>
      <c r="CD82" s="204"/>
      <c r="CE82" s="204"/>
      <c r="CF82" s="204"/>
      <c r="CG82" s="204"/>
      <c r="CH82" s="204"/>
      <c r="CI82" s="204"/>
      <c r="CJ82" s="204"/>
      <c r="CK82" s="204"/>
      <c r="CL82" s="204"/>
      <c r="CM82" s="204"/>
      <c r="CN82" s="204"/>
      <c r="CO82" s="204"/>
      <c r="CP82" s="204"/>
      <c r="CQ82" s="204"/>
      <c r="CR82" s="204"/>
      <c r="CS82" s="204"/>
      <c r="CT82" s="204"/>
      <c r="CU82" s="204"/>
      <c r="CV82" s="204"/>
      <c r="CW82" s="204"/>
      <c r="CX82" s="204"/>
      <c r="CY82" s="204"/>
      <c r="CZ82" s="204"/>
      <c r="DA82" s="204"/>
      <c r="DB82" s="204"/>
      <c r="DC82" s="204"/>
      <c r="DD82" s="204"/>
      <c r="DE82" s="204"/>
      <c r="DF82" s="204"/>
      <c r="DG82" s="204"/>
      <c r="DH82" s="204"/>
      <c r="DI82" s="204"/>
      <c r="DJ82" s="204"/>
      <c r="DK82" s="204"/>
      <c r="DL82" s="204"/>
      <c r="DM82" s="204"/>
      <c r="DN82" s="204"/>
      <c r="DO82" s="204"/>
      <c r="DP82" s="204"/>
      <c r="DQ82" s="204"/>
      <c r="DR82" s="204"/>
      <c r="DS82" s="204"/>
      <c r="DT82" s="204"/>
      <c r="DU82" s="204"/>
      <c r="DV82" s="204"/>
      <c r="DW82" s="204"/>
      <c r="DX82" s="204"/>
      <c r="DY82" s="204"/>
      <c r="DZ82" s="204"/>
      <c r="EA82" s="204"/>
      <c r="EB82" s="204"/>
      <c r="EC82" s="204"/>
      <c r="ED82" s="204"/>
      <c r="EE82" s="204"/>
      <c r="EF82" s="204"/>
      <c r="EG82" s="204"/>
      <c r="EH82" s="204"/>
      <c r="EI82" s="204"/>
      <c r="EJ82" s="204"/>
      <c r="EK82" s="204"/>
      <c r="EL82" s="204"/>
      <c r="EM82" s="204"/>
      <c r="EN82" s="204"/>
      <c r="EO82" s="204"/>
      <c r="EP82" s="204"/>
      <c r="EQ82" s="204"/>
      <c r="ER82" s="204"/>
      <c r="ES82" s="204"/>
      <c r="ET82" s="204"/>
      <c r="EU82" s="204"/>
      <c r="EV82" s="204"/>
      <c r="EW82" s="204"/>
      <c r="EX82" s="204"/>
      <c r="EY82" s="204"/>
      <c r="EZ82" s="204"/>
      <c r="FA82" s="204"/>
      <c r="FB82" s="204"/>
      <c r="FC82" s="204"/>
      <c r="FD82" s="204"/>
      <c r="FE82" s="204"/>
      <c r="FF82" s="204"/>
      <c r="FG82" s="204"/>
      <c r="FH82" s="204"/>
      <c r="FI82" s="204"/>
      <c r="FJ82" s="204"/>
      <c r="FK82" s="204"/>
      <c r="FL82" s="204"/>
      <c r="FM82" s="204"/>
      <c r="FN82" s="204"/>
      <c r="FO82" s="204"/>
      <c r="FP82" s="204"/>
      <c r="FQ82" s="204"/>
      <c r="FR82" s="204"/>
      <c r="FS82" s="204"/>
      <c r="FT82" s="204"/>
      <c r="FU82" s="204"/>
      <c r="FV82" s="204"/>
      <c r="FW82" s="204"/>
      <c r="FX82" s="204"/>
      <c r="FY82" s="204"/>
      <c r="FZ82" s="204"/>
      <c r="GA82" s="204"/>
      <c r="GB82" s="204"/>
      <c r="GC82" s="204"/>
      <c r="GD82" s="204"/>
      <c r="GE82" s="204"/>
      <c r="GF82" s="204"/>
      <c r="GG82" s="204"/>
      <c r="GH82" s="204"/>
      <c r="GI82" s="204"/>
      <c r="GJ82" s="204"/>
      <c r="GK82" s="204"/>
      <c r="GL82" s="204"/>
      <c r="GM82" s="204"/>
      <c r="GN82" s="194"/>
      <c r="GO82" s="204"/>
      <c r="GP82" s="204"/>
      <c r="GQ82" s="204"/>
      <c r="GR82" s="204"/>
      <c r="GS82" s="204"/>
      <c r="GT82" s="204"/>
      <c r="GU82" s="204"/>
      <c r="GV82" s="204"/>
      <c r="GW82" s="204"/>
      <c r="GX82" s="204"/>
      <c r="GY82" s="204"/>
      <c r="GZ82" s="204"/>
      <c r="HA82" s="204"/>
      <c r="HB82" s="204"/>
      <c r="HC82" s="204"/>
      <c r="HD82" s="204"/>
      <c r="HE82" s="204"/>
      <c r="HF82" s="204"/>
      <c r="HG82" s="204"/>
      <c r="HH82" s="204"/>
      <c r="HI82" s="204"/>
      <c r="HJ82" s="204"/>
      <c r="HK82" s="204"/>
      <c r="HL82" s="204"/>
      <c r="HM82" s="204"/>
      <c r="HN82" s="204"/>
      <c r="HO82" s="204"/>
      <c r="HP82" s="204"/>
      <c r="HQ82" s="204"/>
    </row>
    <row r="83" spans="1:225" ht="13.2">
      <c r="A83" s="168"/>
      <c r="B83" s="168"/>
      <c r="C83" s="168"/>
      <c r="D83" s="178"/>
      <c r="E83" s="169"/>
      <c r="F83" s="169"/>
      <c r="G83" s="169"/>
      <c r="H83" s="169"/>
      <c r="I83" s="169"/>
      <c r="J83" s="169"/>
      <c r="K83" s="169"/>
      <c r="L83" s="169"/>
      <c r="M83" s="146"/>
      <c r="N83" s="146"/>
      <c r="O83" s="169"/>
      <c r="P83" s="170"/>
      <c r="Q83" s="170"/>
      <c r="R83" s="171"/>
      <c r="S83" s="171"/>
      <c r="T83" s="146"/>
      <c r="U83" s="146"/>
      <c r="V83" s="172"/>
      <c r="W83" s="173"/>
      <c r="X83" s="174"/>
      <c r="Y83" s="211"/>
      <c r="Z83" s="175"/>
      <c r="AA83" s="176"/>
      <c r="AB83" s="177"/>
      <c r="AD83" s="205"/>
      <c r="AE83" s="204"/>
      <c r="AF83" s="204"/>
      <c r="AG83" s="204"/>
      <c r="AH83" s="204"/>
      <c r="AI83" s="204"/>
      <c r="AJ83" s="204"/>
      <c r="AK83" s="204"/>
      <c r="AL83" s="204"/>
      <c r="AM83" s="204"/>
      <c r="AN83" s="204"/>
      <c r="AO83" s="204"/>
      <c r="AP83" s="204"/>
      <c r="AQ83" s="204"/>
      <c r="AR83" s="204"/>
      <c r="AS83" s="204"/>
      <c r="AT83" s="204"/>
      <c r="AU83" s="204"/>
      <c r="AV83" s="204"/>
      <c r="AW83" s="204"/>
      <c r="AX83" s="204"/>
      <c r="AY83" s="204"/>
      <c r="AZ83" s="204"/>
      <c r="BA83" s="204"/>
      <c r="BB83" s="204"/>
      <c r="BC83" s="204"/>
      <c r="BD83" s="204"/>
      <c r="BE83" s="204"/>
      <c r="BF83" s="204"/>
      <c r="BG83" s="204"/>
      <c r="BH83" s="204"/>
      <c r="BI83" s="204"/>
      <c r="BJ83" s="204"/>
      <c r="BK83" s="204"/>
      <c r="BL83" s="204"/>
      <c r="BM83" s="204"/>
      <c r="BN83" s="204"/>
      <c r="BO83" s="204"/>
      <c r="BP83" s="204"/>
      <c r="BQ83" s="204"/>
      <c r="BR83" s="204"/>
      <c r="BS83" s="204"/>
      <c r="BT83" s="204"/>
      <c r="BU83" s="204"/>
      <c r="BV83" s="204"/>
      <c r="BW83" s="204"/>
      <c r="BX83" s="204"/>
      <c r="BY83" s="204"/>
      <c r="BZ83" s="204"/>
      <c r="CA83" s="204"/>
      <c r="CB83" s="204"/>
      <c r="CC83" s="204"/>
      <c r="CD83" s="204"/>
      <c r="CE83" s="204"/>
      <c r="CF83" s="204"/>
      <c r="CG83" s="204"/>
      <c r="CH83" s="204"/>
      <c r="CI83" s="204"/>
      <c r="CJ83" s="204"/>
      <c r="CK83" s="204"/>
      <c r="CL83" s="204"/>
      <c r="CM83" s="204"/>
      <c r="CN83" s="204"/>
      <c r="CO83" s="204"/>
      <c r="CP83" s="204"/>
      <c r="CQ83" s="204"/>
      <c r="CR83" s="204"/>
      <c r="CS83" s="204"/>
      <c r="CT83" s="204"/>
      <c r="CU83" s="204"/>
      <c r="CV83" s="204"/>
      <c r="CW83" s="204"/>
      <c r="CX83" s="204"/>
      <c r="CY83" s="204"/>
      <c r="CZ83" s="204"/>
      <c r="DA83" s="204"/>
      <c r="DB83" s="204"/>
      <c r="DC83" s="204"/>
      <c r="DD83" s="204"/>
      <c r="DE83" s="204"/>
      <c r="DF83" s="204"/>
      <c r="DG83" s="204"/>
      <c r="DH83" s="204"/>
      <c r="DI83" s="204"/>
      <c r="DJ83" s="204"/>
      <c r="DK83" s="204"/>
      <c r="DL83" s="204"/>
      <c r="DM83" s="204"/>
      <c r="DN83" s="204"/>
      <c r="DO83" s="204"/>
      <c r="DP83" s="204"/>
      <c r="DQ83" s="204"/>
      <c r="DR83" s="204"/>
      <c r="DS83" s="204"/>
      <c r="DT83" s="204"/>
      <c r="DU83" s="204"/>
      <c r="DV83" s="204"/>
      <c r="DW83" s="204"/>
      <c r="DX83" s="204"/>
      <c r="DY83" s="204"/>
      <c r="DZ83" s="204"/>
      <c r="EA83" s="204"/>
      <c r="EB83" s="204"/>
      <c r="EC83" s="204"/>
      <c r="ED83" s="204"/>
      <c r="EE83" s="204"/>
      <c r="EF83" s="204"/>
      <c r="EG83" s="204"/>
      <c r="EH83" s="204"/>
      <c r="EI83" s="204"/>
      <c r="EJ83" s="204"/>
      <c r="EK83" s="204"/>
      <c r="EL83" s="204"/>
      <c r="EM83" s="204"/>
      <c r="EN83" s="204"/>
      <c r="EO83" s="204"/>
      <c r="EP83" s="204"/>
      <c r="EQ83" s="204"/>
      <c r="ER83" s="204"/>
      <c r="ES83" s="204"/>
      <c r="ET83" s="204"/>
      <c r="EU83" s="204"/>
      <c r="EV83" s="204"/>
      <c r="EW83" s="204"/>
      <c r="EX83" s="204"/>
      <c r="EY83" s="204"/>
      <c r="EZ83" s="204"/>
      <c r="FA83" s="204"/>
      <c r="FB83" s="204"/>
      <c r="FC83" s="204"/>
      <c r="FD83" s="204"/>
      <c r="FE83" s="204"/>
      <c r="FF83" s="204"/>
      <c r="FG83" s="204"/>
      <c r="FH83" s="204"/>
      <c r="FI83" s="204"/>
      <c r="FJ83" s="204"/>
      <c r="FK83" s="204"/>
      <c r="FL83" s="204"/>
      <c r="FM83" s="204"/>
      <c r="FN83" s="204"/>
      <c r="FO83" s="204"/>
      <c r="FP83" s="204"/>
      <c r="FQ83" s="204"/>
      <c r="FR83" s="204"/>
      <c r="FS83" s="204"/>
      <c r="FT83" s="204"/>
      <c r="FU83" s="204"/>
      <c r="FV83" s="204"/>
      <c r="FW83" s="204"/>
      <c r="FX83" s="204"/>
      <c r="FY83" s="204"/>
      <c r="FZ83" s="204"/>
      <c r="GA83" s="204"/>
      <c r="GB83" s="204"/>
      <c r="GC83" s="204"/>
      <c r="GD83" s="204"/>
      <c r="GE83" s="204"/>
      <c r="GF83" s="204"/>
      <c r="GG83" s="204"/>
      <c r="GH83" s="204"/>
      <c r="GI83" s="204"/>
      <c r="GJ83" s="204"/>
      <c r="GK83" s="204"/>
      <c r="GL83" s="204"/>
      <c r="GM83" s="204"/>
      <c r="GN83" s="204"/>
      <c r="GO83" s="204"/>
      <c r="GP83" s="204"/>
      <c r="GQ83" s="194"/>
      <c r="GR83" s="204"/>
      <c r="GS83" s="204"/>
      <c r="GT83" s="204"/>
      <c r="GU83" s="204"/>
      <c r="GV83" s="204"/>
      <c r="GW83" s="204"/>
      <c r="GX83" s="204"/>
      <c r="GY83" s="204"/>
      <c r="GZ83" s="204"/>
      <c r="HA83" s="204"/>
      <c r="HB83" s="204"/>
      <c r="HC83" s="204"/>
      <c r="HD83" s="204"/>
      <c r="HE83" s="204"/>
      <c r="HF83" s="204"/>
      <c r="HG83" s="204"/>
      <c r="HH83" s="204"/>
      <c r="HI83" s="204"/>
      <c r="HJ83" s="204"/>
      <c r="HK83" s="204"/>
      <c r="HL83" s="204"/>
      <c r="HM83" s="204"/>
      <c r="HN83" s="204"/>
      <c r="HO83" s="204"/>
      <c r="HP83" s="204"/>
      <c r="HQ83" s="204"/>
    </row>
    <row r="84" spans="1:225">
      <c r="A84" s="180"/>
      <c r="B84" s="180"/>
      <c r="C84" s="180"/>
      <c r="D84" s="181"/>
      <c r="E84" s="182"/>
      <c r="F84" s="182"/>
      <c r="G84" s="182"/>
      <c r="H84" s="182"/>
      <c r="I84" s="182"/>
      <c r="J84" s="182"/>
      <c r="K84" s="182"/>
      <c r="L84" s="182"/>
      <c r="M84" s="146"/>
      <c r="N84" s="146"/>
      <c r="O84" s="182"/>
      <c r="P84" s="184"/>
      <c r="Q84" s="184"/>
      <c r="R84" s="185"/>
      <c r="S84" s="185"/>
      <c r="T84" s="183"/>
      <c r="U84" s="183"/>
      <c r="V84" s="186"/>
      <c r="W84" s="187"/>
      <c r="X84" s="188"/>
      <c r="Y84" s="182"/>
      <c r="Z84" s="189"/>
      <c r="AA84" s="190"/>
      <c r="AB84" s="191"/>
      <c r="AD84" s="193"/>
      <c r="AE84" s="193"/>
      <c r="AF84" s="193"/>
      <c r="AG84" s="193"/>
      <c r="AH84" s="193"/>
      <c r="AI84" s="193"/>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c r="EF84" s="193"/>
      <c r="EG84" s="193"/>
      <c r="EH84" s="193"/>
      <c r="EI84" s="193"/>
      <c r="EJ84" s="193"/>
      <c r="EK84" s="193"/>
      <c r="EL84" s="193"/>
      <c r="EM84" s="193"/>
      <c r="EN84" s="193"/>
      <c r="EO84" s="193"/>
      <c r="EP84" s="193"/>
      <c r="EQ84" s="193"/>
      <c r="ER84" s="193"/>
      <c r="ES84" s="193"/>
      <c r="ET84" s="193"/>
      <c r="EU84" s="193"/>
      <c r="EV84" s="193"/>
      <c r="EW84" s="193"/>
      <c r="EX84" s="193"/>
      <c r="EY84" s="193"/>
      <c r="EZ84" s="193"/>
      <c r="FA84" s="193"/>
      <c r="FB84" s="193"/>
      <c r="FC84" s="193"/>
      <c r="FD84" s="193"/>
      <c r="FE84" s="193"/>
      <c r="FF84" s="193"/>
      <c r="FG84" s="193"/>
      <c r="FH84" s="193"/>
      <c r="FI84" s="193"/>
      <c r="FJ84" s="193"/>
      <c r="FK84" s="193"/>
      <c r="FL84" s="193"/>
      <c r="FM84" s="193"/>
      <c r="FN84" s="193"/>
      <c r="FO84" s="193"/>
      <c r="FP84" s="193"/>
      <c r="FQ84" s="193"/>
      <c r="FR84" s="193"/>
      <c r="FS84" s="193"/>
      <c r="FT84" s="193"/>
      <c r="FU84" s="193"/>
      <c r="FV84" s="193"/>
      <c r="FW84" s="193"/>
      <c r="FX84" s="193"/>
      <c r="FY84" s="193"/>
      <c r="FZ84" s="193"/>
      <c r="GA84" s="193"/>
      <c r="GB84" s="193"/>
      <c r="GC84" s="193"/>
      <c r="GD84" s="193"/>
      <c r="GE84" s="193"/>
      <c r="GF84" s="193"/>
      <c r="GG84" s="193"/>
      <c r="GH84" s="193"/>
      <c r="GI84" s="193"/>
      <c r="GJ84" s="193"/>
      <c r="GK84" s="193"/>
      <c r="GL84" s="193"/>
      <c r="GM84" s="193"/>
      <c r="GN84" s="193"/>
      <c r="GO84" s="193"/>
      <c r="GP84" s="193"/>
      <c r="GQ84" s="193"/>
      <c r="GR84" s="193"/>
      <c r="GS84" s="193"/>
      <c r="GT84" s="193"/>
      <c r="GU84" s="193"/>
      <c r="GV84" s="193"/>
      <c r="GW84" s="193"/>
      <c r="GX84" s="193"/>
      <c r="GY84" s="193"/>
      <c r="GZ84" s="193"/>
      <c r="HA84" s="193"/>
      <c r="HB84" s="193"/>
      <c r="HC84" s="193"/>
      <c r="HD84" s="193"/>
      <c r="HE84" s="193"/>
      <c r="HF84" s="193"/>
      <c r="HG84" s="193"/>
      <c r="HH84" s="193"/>
      <c r="HI84" s="193"/>
      <c r="HJ84" s="193"/>
      <c r="HK84" s="193"/>
      <c r="HL84" s="193"/>
      <c r="HM84" s="193"/>
      <c r="HN84" s="193"/>
      <c r="HO84" s="193"/>
      <c r="HP84" s="193"/>
      <c r="HQ84" s="193"/>
    </row>
    <row r="85" spans="1:225">
      <c r="A85" s="168"/>
      <c r="B85" s="168"/>
      <c r="C85" s="168"/>
      <c r="D85" s="178"/>
      <c r="E85" s="169"/>
      <c r="F85" s="169"/>
      <c r="G85" s="169"/>
      <c r="H85" s="169"/>
      <c r="I85" s="169"/>
      <c r="J85" s="169"/>
      <c r="K85" s="169"/>
      <c r="L85" s="169"/>
      <c r="M85" s="146"/>
      <c r="N85" s="146"/>
      <c r="O85" s="169"/>
      <c r="P85" s="170"/>
      <c r="Q85" s="170"/>
      <c r="R85" s="171"/>
      <c r="S85" s="171"/>
      <c r="T85" s="146"/>
      <c r="U85" s="146"/>
      <c r="V85" s="172"/>
      <c r="W85" s="173"/>
      <c r="X85" s="174"/>
      <c r="Y85" s="169"/>
      <c r="Z85" s="175"/>
      <c r="AA85" s="176"/>
      <c r="AB85" s="177"/>
    </row>
    <row r="86" spans="1:225">
      <c r="A86" s="168"/>
      <c r="B86" s="168"/>
      <c r="C86" s="168"/>
      <c r="D86" s="178"/>
      <c r="E86" s="169"/>
      <c r="F86" s="169"/>
      <c r="G86" s="169"/>
      <c r="H86" s="169"/>
      <c r="I86" s="169"/>
      <c r="J86" s="169"/>
      <c r="K86" s="169"/>
      <c r="L86" s="169"/>
      <c r="M86" s="146"/>
      <c r="N86" s="146"/>
      <c r="O86" s="169"/>
      <c r="P86" s="170"/>
      <c r="Q86" s="170"/>
      <c r="R86" s="171"/>
      <c r="S86" s="171"/>
      <c r="T86" s="146"/>
      <c r="U86" s="146"/>
      <c r="V86" s="172"/>
      <c r="W86" s="173"/>
      <c r="X86" s="174"/>
      <c r="Y86" s="169"/>
      <c r="Z86" s="175"/>
      <c r="AA86" s="176"/>
      <c r="AB86" s="177"/>
    </row>
    <row r="87" spans="1:225">
      <c r="A87" s="168"/>
      <c r="B87" s="168"/>
      <c r="C87" s="168"/>
      <c r="D87" s="178"/>
      <c r="E87" s="169"/>
      <c r="F87" s="169"/>
      <c r="G87" s="169"/>
      <c r="H87" s="169"/>
      <c r="I87" s="169"/>
      <c r="J87" s="169"/>
      <c r="K87" s="169"/>
      <c r="L87" s="169"/>
      <c r="M87" s="146"/>
      <c r="N87" s="146"/>
      <c r="O87" s="169"/>
      <c r="P87" s="170"/>
      <c r="Q87" s="170"/>
      <c r="R87" s="171"/>
      <c r="S87" s="171"/>
      <c r="T87" s="146"/>
      <c r="U87" s="146"/>
      <c r="V87" s="172"/>
      <c r="W87" s="173"/>
      <c r="X87" s="174"/>
      <c r="Y87" s="169"/>
      <c r="Z87" s="175"/>
      <c r="AA87" s="176"/>
      <c r="AB87" s="177"/>
    </row>
    <row r="88" spans="1:225">
      <c r="A88" s="168"/>
      <c r="B88" s="168"/>
      <c r="C88" s="168"/>
      <c r="D88" s="178"/>
      <c r="E88" s="169"/>
      <c r="F88" s="169"/>
      <c r="G88" s="169"/>
      <c r="H88" s="169"/>
      <c r="I88" s="169"/>
      <c r="J88" s="169"/>
      <c r="K88" s="169"/>
      <c r="L88" s="169"/>
      <c r="M88" s="146"/>
      <c r="N88" s="146"/>
      <c r="O88" s="169"/>
      <c r="P88" s="170"/>
      <c r="Q88" s="170"/>
      <c r="R88" s="171"/>
      <c r="S88" s="171"/>
      <c r="T88" s="146"/>
      <c r="U88" s="146"/>
      <c r="V88" s="172"/>
      <c r="W88" s="173"/>
      <c r="X88" s="174"/>
      <c r="Y88" s="169"/>
      <c r="Z88" s="175"/>
      <c r="AA88" s="176"/>
      <c r="AB88" s="177"/>
    </row>
    <row r="89" spans="1:225">
      <c r="A89" s="168"/>
      <c r="B89" s="168"/>
      <c r="C89" s="168"/>
      <c r="D89" s="178"/>
      <c r="E89" s="169"/>
      <c r="F89" s="169"/>
      <c r="G89" s="169"/>
      <c r="H89" s="169"/>
      <c r="I89" s="169"/>
      <c r="J89" s="169"/>
      <c r="K89" s="169"/>
      <c r="L89" s="169"/>
      <c r="M89" s="146"/>
      <c r="N89" s="146"/>
      <c r="O89" s="169"/>
      <c r="P89" s="170"/>
      <c r="Q89" s="170"/>
      <c r="R89" s="171"/>
      <c r="S89" s="171"/>
      <c r="T89" s="146"/>
      <c r="U89" s="146"/>
      <c r="V89" s="172"/>
      <c r="W89" s="173"/>
      <c r="X89" s="174"/>
      <c r="Y89" s="169"/>
      <c r="Z89" s="175"/>
      <c r="AA89" s="176"/>
      <c r="AB89" s="177"/>
    </row>
    <row r="90" spans="1:225">
      <c r="A90" s="168"/>
      <c r="B90" s="168"/>
      <c r="C90" s="168"/>
      <c r="D90" s="178"/>
      <c r="E90" s="169"/>
      <c r="F90" s="169"/>
      <c r="G90" s="169"/>
      <c r="H90" s="169"/>
      <c r="I90" s="169"/>
      <c r="J90" s="169"/>
      <c r="K90" s="169"/>
      <c r="L90" s="169"/>
      <c r="M90" s="146"/>
      <c r="N90" s="146"/>
      <c r="O90" s="169"/>
      <c r="P90" s="170"/>
      <c r="Q90" s="170"/>
      <c r="R90" s="171"/>
      <c r="S90" s="171"/>
      <c r="T90" s="146"/>
      <c r="U90" s="146"/>
      <c r="V90" s="172"/>
      <c r="W90" s="173"/>
      <c r="X90" s="174"/>
      <c r="Y90" s="169"/>
      <c r="Z90" s="175"/>
      <c r="AA90" s="176"/>
      <c r="AB90" s="177"/>
    </row>
    <row r="91" spans="1:225">
      <c r="A91" s="168"/>
      <c r="B91" s="168"/>
      <c r="C91" s="168"/>
      <c r="D91" s="178"/>
      <c r="E91" s="169"/>
      <c r="F91" s="169"/>
      <c r="G91" s="169"/>
      <c r="H91" s="169"/>
      <c r="I91" s="169"/>
      <c r="J91" s="169"/>
      <c r="K91" s="169"/>
      <c r="L91" s="169"/>
      <c r="M91" s="146"/>
      <c r="N91" s="146"/>
      <c r="O91" s="169"/>
      <c r="P91" s="170"/>
      <c r="Q91" s="170"/>
      <c r="R91" s="171"/>
      <c r="S91" s="171"/>
      <c r="T91" s="146"/>
      <c r="U91" s="146"/>
      <c r="V91" s="172"/>
      <c r="W91" s="173"/>
      <c r="X91" s="174"/>
      <c r="Y91" s="169"/>
      <c r="Z91" s="175"/>
      <c r="AA91" s="176"/>
      <c r="AB91" s="177"/>
    </row>
    <row r="92" spans="1:225">
      <c r="A92" s="168"/>
      <c r="B92" s="168"/>
      <c r="C92" s="168"/>
      <c r="D92" s="178"/>
      <c r="E92" s="169"/>
      <c r="F92" s="169"/>
      <c r="G92" s="169"/>
      <c r="H92" s="169"/>
      <c r="I92" s="169"/>
      <c r="J92" s="169"/>
      <c r="K92" s="169"/>
      <c r="L92" s="169"/>
      <c r="M92" s="146"/>
      <c r="N92" s="146"/>
      <c r="O92" s="169"/>
      <c r="P92" s="170"/>
      <c r="Q92" s="170"/>
      <c r="R92" s="171"/>
      <c r="S92" s="171"/>
      <c r="T92" s="146"/>
      <c r="U92" s="146"/>
      <c r="V92" s="172"/>
      <c r="W92" s="173"/>
      <c r="X92" s="174"/>
      <c r="Y92" s="169"/>
      <c r="Z92" s="175"/>
      <c r="AA92" s="176"/>
      <c r="AB92" s="177"/>
    </row>
    <row r="93" spans="1:225">
      <c r="A93" s="168"/>
      <c r="B93" s="168"/>
      <c r="C93" s="168"/>
      <c r="D93" s="178"/>
      <c r="E93" s="169"/>
      <c r="F93" s="169"/>
      <c r="G93" s="169"/>
      <c r="H93" s="169"/>
      <c r="I93" s="169"/>
      <c r="J93" s="169"/>
      <c r="K93" s="169"/>
      <c r="L93" s="169"/>
      <c r="M93" s="146"/>
      <c r="N93" s="146"/>
      <c r="O93" s="169"/>
      <c r="P93" s="170"/>
      <c r="Q93" s="170"/>
      <c r="R93" s="171"/>
      <c r="S93" s="171"/>
      <c r="T93" s="146"/>
      <c r="U93" s="146"/>
      <c r="V93" s="172"/>
      <c r="W93" s="173"/>
      <c r="X93" s="174"/>
      <c r="Y93" s="169"/>
      <c r="Z93" s="175"/>
      <c r="AA93" s="176"/>
      <c r="AB93" s="177"/>
    </row>
    <row r="94" spans="1:225">
      <c r="A94" s="168"/>
      <c r="B94" s="168"/>
      <c r="C94" s="168"/>
      <c r="D94" s="178"/>
      <c r="E94" s="169"/>
      <c r="F94" s="169"/>
      <c r="G94" s="169"/>
      <c r="H94" s="169"/>
      <c r="I94" s="169"/>
      <c r="J94" s="169"/>
      <c r="K94" s="169"/>
      <c r="L94" s="169"/>
      <c r="M94" s="146"/>
      <c r="N94" s="146"/>
      <c r="O94" s="169"/>
      <c r="P94" s="170"/>
      <c r="Q94" s="170"/>
      <c r="R94" s="171"/>
      <c r="S94" s="171"/>
      <c r="T94" s="146"/>
      <c r="U94" s="146"/>
      <c r="V94" s="172"/>
      <c r="W94" s="173"/>
      <c r="X94" s="174"/>
      <c r="Y94" s="169"/>
      <c r="Z94" s="175"/>
      <c r="AA94" s="176"/>
      <c r="AB94" s="177"/>
    </row>
    <row r="95" spans="1:225">
      <c r="A95" s="168"/>
      <c r="B95" s="168"/>
      <c r="C95" s="168"/>
      <c r="D95" s="178"/>
      <c r="E95" s="169"/>
      <c r="F95" s="169"/>
      <c r="G95" s="169"/>
      <c r="H95" s="169"/>
      <c r="I95" s="169"/>
      <c r="J95" s="169"/>
      <c r="K95" s="169"/>
      <c r="L95" s="169"/>
      <c r="M95" s="146"/>
      <c r="N95" s="146"/>
      <c r="O95" s="169"/>
      <c r="P95" s="170"/>
      <c r="Q95" s="170"/>
      <c r="R95" s="171"/>
      <c r="S95" s="171"/>
      <c r="T95" s="146"/>
      <c r="U95" s="146"/>
      <c r="V95" s="172"/>
      <c r="W95" s="173"/>
      <c r="X95" s="174"/>
      <c r="Y95" s="169"/>
      <c r="Z95" s="175"/>
      <c r="AA95" s="176"/>
      <c r="AB95" s="177"/>
    </row>
    <row r="96" spans="1:225">
      <c r="A96" s="168"/>
      <c r="B96" s="168"/>
      <c r="C96" s="168"/>
      <c r="D96" s="178"/>
      <c r="E96" s="169"/>
      <c r="F96" s="169"/>
      <c r="G96" s="169"/>
      <c r="H96" s="169"/>
      <c r="I96" s="169"/>
      <c r="J96" s="169"/>
      <c r="K96" s="169"/>
      <c r="L96" s="169"/>
      <c r="M96" s="146"/>
      <c r="N96" s="146"/>
      <c r="O96" s="169"/>
      <c r="P96" s="170"/>
      <c r="Q96" s="170"/>
      <c r="R96" s="171"/>
      <c r="S96" s="171"/>
      <c r="T96" s="146"/>
      <c r="U96" s="146"/>
      <c r="V96" s="172"/>
      <c r="W96" s="173"/>
      <c r="X96" s="174"/>
      <c r="Y96" s="169"/>
      <c r="Z96" s="175"/>
      <c r="AA96" s="176"/>
      <c r="AB96" s="177"/>
    </row>
    <row r="97" spans="1:28">
      <c r="A97" s="180"/>
      <c r="B97" s="180"/>
      <c r="C97" s="180"/>
      <c r="D97" s="181"/>
      <c r="E97" s="182"/>
      <c r="F97" s="182"/>
      <c r="G97" s="182"/>
      <c r="H97" s="182"/>
      <c r="I97" s="182"/>
      <c r="J97" s="182"/>
      <c r="K97" s="182"/>
      <c r="L97" s="182"/>
      <c r="M97" s="183"/>
      <c r="N97" s="183"/>
      <c r="O97" s="182"/>
      <c r="P97" s="184"/>
      <c r="Q97" s="184"/>
      <c r="R97" s="185"/>
      <c r="S97" s="185"/>
      <c r="T97" s="183"/>
      <c r="U97" s="183"/>
      <c r="V97" s="186"/>
      <c r="W97" s="187"/>
      <c r="X97" s="188"/>
      <c r="Y97" s="182"/>
      <c r="Z97" s="189"/>
      <c r="AA97" s="190"/>
      <c r="AB97" s="191"/>
    </row>
    <row r="98" spans="1:28">
      <c r="A98" s="168"/>
      <c r="B98" s="168"/>
      <c r="C98" s="168"/>
      <c r="D98" s="178"/>
      <c r="E98" s="169"/>
      <c r="F98" s="169"/>
      <c r="G98" s="169"/>
      <c r="H98" s="169"/>
      <c r="I98" s="169"/>
      <c r="J98" s="169"/>
      <c r="K98" s="169"/>
      <c r="L98" s="169"/>
      <c r="M98" s="146"/>
      <c r="N98" s="146"/>
      <c r="O98" s="169"/>
      <c r="P98" s="170"/>
      <c r="Q98" s="170"/>
      <c r="R98" s="171"/>
      <c r="S98" s="171"/>
      <c r="T98" s="146"/>
      <c r="U98" s="146"/>
      <c r="V98" s="172"/>
      <c r="W98" s="173"/>
      <c r="X98" s="174"/>
      <c r="Y98" s="169"/>
      <c r="Z98" s="175"/>
      <c r="AA98" s="176"/>
      <c r="AB98" s="177"/>
    </row>
    <row r="99" spans="1:28">
      <c r="A99" s="168"/>
      <c r="B99" s="168"/>
      <c r="C99" s="168"/>
      <c r="D99" s="178"/>
      <c r="E99" s="169"/>
      <c r="F99" s="169"/>
      <c r="G99" s="169"/>
      <c r="H99" s="169"/>
      <c r="I99" s="169"/>
      <c r="J99" s="169"/>
      <c r="K99" s="169"/>
      <c r="L99" s="169"/>
      <c r="M99" s="146"/>
      <c r="N99" s="146"/>
      <c r="O99" s="169"/>
      <c r="P99" s="170"/>
      <c r="Q99" s="170"/>
      <c r="R99" s="171"/>
      <c r="S99" s="171"/>
      <c r="T99" s="146"/>
      <c r="U99" s="146"/>
      <c r="V99" s="172"/>
      <c r="W99" s="173"/>
      <c r="X99" s="174"/>
      <c r="Y99" s="169"/>
      <c r="Z99" s="175"/>
      <c r="AA99" s="176"/>
      <c r="AB99" s="177"/>
    </row>
    <row r="100" spans="1:28">
      <c r="A100" s="168"/>
      <c r="B100" s="168"/>
      <c r="C100" s="168"/>
      <c r="D100" s="178"/>
      <c r="E100" s="169"/>
      <c r="F100" s="169"/>
      <c r="G100" s="169"/>
      <c r="H100" s="169"/>
      <c r="I100" s="169"/>
      <c r="J100" s="169"/>
      <c r="K100" s="169"/>
      <c r="L100" s="169"/>
      <c r="M100" s="146"/>
      <c r="N100" s="146"/>
      <c r="O100" s="169"/>
      <c r="P100" s="170"/>
      <c r="Q100" s="170"/>
      <c r="R100" s="171"/>
      <c r="S100" s="171"/>
      <c r="T100" s="146"/>
      <c r="U100" s="146"/>
      <c r="V100" s="172"/>
      <c r="W100" s="173"/>
      <c r="X100" s="174"/>
      <c r="Y100" s="169"/>
      <c r="Z100" s="175"/>
      <c r="AA100" s="176"/>
      <c r="AB100" s="177"/>
    </row>
    <row r="101" spans="1:28">
      <c r="A101" s="168"/>
      <c r="B101" s="168"/>
      <c r="C101" s="168"/>
      <c r="D101" s="178"/>
      <c r="E101" s="169"/>
      <c r="F101" s="169"/>
      <c r="G101" s="169"/>
      <c r="H101" s="169"/>
      <c r="I101" s="169"/>
      <c r="J101" s="169"/>
      <c r="K101" s="169"/>
      <c r="L101" s="169"/>
      <c r="M101" s="146"/>
      <c r="N101" s="146"/>
      <c r="O101" s="169"/>
      <c r="P101" s="170"/>
      <c r="Q101" s="170"/>
      <c r="R101" s="171"/>
      <c r="S101" s="171"/>
      <c r="T101" s="146"/>
      <c r="U101" s="146"/>
      <c r="V101" s="172"/>
      <c r="W101" s="173"/>
      <c r="X101" s="174"/>
      <c r="Y101" s="169"/>
      <c r="Z101" s="175"/>
      <c r="AA101" s="176"/>
      <c r="AB101" s="177"/>
    </row>
    <row r="102" spans="1:28">
      <c r="A102" s="168"/>
      <c r="B102" s="168"/>
      <c r="C102" s="168"/>
      <c r="D102" s="178"/>
      <c r="E102" s="169"/>
      <c r="F102" s="169"/>
      <c r="G102" s="169"/>
      <c r="H102" s="169"/>
      <c r="I102" s="169"/>
      <c r="J102" s="169"/>
      <c r="K102" s="169"/>
      <c r="L102" s="169"/>
      <c r="M102" s="146"/>
      <c r="N102" s="146"/>
      <c r="O102" s="169"/>
      <c r="P102" s="170"/>
      <c r="Q102" s="170"/>
      <c r="R102" s="171"/>
      <c r="S102" s="171"/>
      <c r="T102" s="146"/>
      <c r="U102" s="146"/>
      <c r="V102" s="172"/>
      <c r="W102" s="173"/>
      <c r="X102" s="174"/>
      <c r="Y102" s="169"/>
      <c r="Z102" s="175"/>
      <c r="AA102" s="176"/>
      <c r="AB102" s="177"/>
    </row>
    <row r="103" spans="1:28">
      <c r="A103" s="168"/>
      <c r="B103" s="168"/>
      <c r="C103" s="168"/>
      <c r="D103" s="178"/>
      <c r="E103" s="169"/>
      <c r="F103" s="169"/>
      <c r="G103" s="169"/>
      <c r="H103" s="169"/>
      <c r="I103" s="169"/>
      <c r="J103" s="169"/>
      <c r="K103" s="169"/>
      <c r="L103" s="169"/>
      <c r="M103" s="146"/>
      <c r="N103" s="146"/>
      <c r="O103" s="169"/>
      <c r="P103" s="170"/>
      <c r="Q103" s="170"/>
      <c r="R103" s="171"/>
      <c r="S103" s="171"/>
      <c r="T103" s="146"/>
      <c r="U103" s="146"/>
      <c r="V103" s="172"/>
      <c r="W103" s="173"/>
      <c r="X103" s="174"/>
      <c r="Y103" s="169"/>
      <c r="Z103" s="175"/>
      <c r="AA103" s="176"/>
      <c r="AB103" s="177"/>
    </row>
    <row r="104" spans="1:28">
      <c r="A104" s="168"/>
      <c r="B104" s="168"/>
      <c r="C104" s="168"/>
      <c r="D104" s="178"/>
      <c r="E104" s="169"/>
      <c r="F104" s="169"/>
      <c r="G104" s="169"/>
      <c r="H104" s="169"/>
      <c r="I104" s="169"/>
      <c r="J104" s="169"/>
      <c r="K104" s="169"/>
      <c r="L104" s="169"/>
      <c r="M104" s="146"/>
      <c r="N104" s="146"/>
      <c r="O104" s="169"/>
      <c r="P104" s="170"/>
      <c r="Q104" s="170"/>
      <c r="R104" s="171"/>
      <c r="S104" s="171"/>
      <c r="T104" s="146"/>
      <c r="U104" s="146"/>
      <c r="V104" s="172"/>
      <c r="W104" s="173"/>
      <c r="X104" s="174"/>
      <c r="Y104" s="169"/>
      <c r="Z104" s="175"/>
      <c r="AA104" s="176"/>
      <c r="AB104" s="177"/>
    </row>
    <row r="105" spans="1:28">
      <c r="A105" s="168"/>
      <c r="B105" s="168"/>
      <c r="C105" s="168"/>
      <c r="D105" s="178"/>
      <c r="E105" s="169"/>
      <c r="F105" s="169"/>
      <c r="G105" s="169"/>
      <c r="H105" s="169"/>
      <c r="I105" s="169"/>
      <c r="J105" s="169"/>
      <c r="K105" s="169"/>
      <c r="L105" s="169"/>
      <c r="M105" s="146"/>
      <c r="N105" s="146"/>
      <c r="O105" s="169"/>
      <c r="P105" s="170"/>
      <c r="Q105" s="170"/>
      <c r="R105" s="171"/>
      <c r="S105" s="171"/>
      <c r="T105" s="146"/>
      <c r="U105" s="146"/>
      <c r="V105" s="172"/>
      <c r="W105" s="173"/>
      <c r="X105" s="174"/>
      <c r="Y105" s="169"/>
      <c r="Z105" s="175"/>
      <c r="AA105" s="176"/>
      <c r="AB105" s="177"/>
    </row>
    <row r="106" spans="1:28">
      <c r="A106" s="168"/>
      <c r="B106" s="168"/>
      <c r="C106" s="168"/>
      <c r="D106" s="178"/>
      <c r="E106" s="169"/>
      <c r="F106" s="169"/>
      <c r="G106" s="169"/>
      <c r="H106" s="169"/>
      <c r="I106" s="169"/>
      <c r="J106" s="169"/>
      <c r="K106" s="169"/>
      <c r="L106" s="169"/>
      <c r="M106" s="146"/>
      <c r="N106" s="146"/>
      <c r="O106" s="169"/>
      <c r="P106" s="170"/>
      <c r="Q106" s="170"/>
      <c r="R106" s="171"/>
      <c r="S106" s="171"/>
      <c r="T106" s="146"/>
      <c r="U106" s="146"/>
      <c r="V106" s="172"/>
      <c r="W106" s="173"/>
      <c r="X106" s="174"/>
      <c r="Y106" s="169"/>
      <c r="Z106" s="175"/>
      <c r="AA106" s="176"/>
      <c r="AB106" s="177"/>
    </row>
    <row r="107" spans="1:28">
      <c r="A107" s="168"/>
      <c r="B107" s="168"/>
      <c r="C107" s="168"/>
      <c r="D107" s="178"/>
      <c r="E107" s="169"/>
      <c r="F107" s="169"/>
      <c r="G107" s="169"/>
      <c r="H107" s="169"/>
      <c r="I107" s="169"/>
      <c r="J107" s="169"/>
      <c r="K107" s="169"/>
      <c r="L107" s="169"/>
      <c r="M107" s="146"/>
      <c r="N107" s="146"/>
      <c r="O107" s="169"/>
      <c r="P107" s="170"/>
      <c r="Q107" s="170"/>
      <c r="R107" s="171"/>
      <c r="S107" s="171"/>
      <c r="T107" s="146"/>
      <c r="U107" s="146"/>
      <c r="V107" s="172"/>
      <c r="W107" s="173"/>
      <c r="X107" s="174"/>
      <c r="Y107" s="169"/>
      <c r="Z107" s="175"/>
      <c r="AA107" s="176"/>
      <c r="AB107" s="177"/>
    </row>
    <row r="108" spans="1:28">
      <c r="A108" s="168"/>
      <c r="B108" s="168"/>
      <c r="C108" s="168"/>
      <c r="D108" s="178"/>
      <c r="E108" s="169"/>
      <c r="F108" s="169"/>
      <c r="G108" s="169"/>
      <c r="H108" s="169"/>
      <c r="I108" s="169"/>
      <c r="J108" s="169"/>
      <c r="K108" s="169"/>
      <c r="L108" s="169"/>
      <c r="M108" s="146"/>
      <c r="N108" s="146"/>
      <c r="O108" s="169"/>
      <c r="P108" s="170"/>
      <c r="Q108" s="170"/>
      <c r="R108" s="171"/>
      <c r="S108" s="171"/>
      <c r="T108" s="146"/>
      <c r="U108" s="146"/>
      <c r="V108" s="172"/>
      <c r="W108" s="173"/>
      <c r="X108" s="174"/>
      <c r="Y108" s="169"/>
      <c r="Z108" s="175"/>
      <c r="AA108" s="176"/>
      <c r="AB108" s="177"/>
    </row>
    <row r="109" spans="1:28">
      <c r="A109" s="168"/>
      <c r="B109" s="168"/>
      <c r="C109" s="168"/>
      <c r="D109" s="178"/>
      <c r="E109" s="169"/>
      <c r="F109" s="169"/>
      <c r="G109" s="169"/>
      <c r="H109" s="169"/>
      <c r="I109" s="169"/>
      <c r="J109" s="169"/>
      <c r="K109" s="169"/>
      <c r="L109" s="169"/>
      <c r="M109" s="146"/>
      <c r="N109" s="146"/>
      <c r="O109" s="169"/>
      <c r="P109" s="170"/>
      <c r="Q109" s="170"/>
      <c r="R109" s="171"/>
      <c r="S109" s="171"/>
      <c r="T109" s="146"/>
      <c r="U109" s="146"/>
      <c r="V109" s="172"/>
      <c r="W109" s="173"/>
      <c r="X109" s="174"/>
      <c r="Y109" s="169"/>
      <c r="Z109" s="175"/>
      <c r="AA109" s="176"/>
      <c r="AB109" s="177"/>
    </row>
    <row r="110" spans="1:28">
      <c r="A110" s="168"/>
      <c r="B110" s="168"/>
      <c r="C110" s="168"/>
      <c r="D110" s="178"/>
      <c r="E110" s="169"/>
      <c r="F110" s="169"/>
      <c r="G110" s="169"/>
      <c r="H110" s="169"/>
      <c r="I110" s="169"/>
      <c r="J110" s="169"/>
      <c r="K110" s="169"/>
      <c r="L110" s="169"/>
      <c r="M110" s="146"/>
      <c r="N110" s="146"/>
      <c r="O110" s="169"/>
      <c r="P110" s="170"/>
      <c r="Q110" s="170"/>
      <c r="R110" s="171"/>
      <c r="S110" s="171"/>
      <c r="T110" s="146"/>
      <c r="U110" s="146"/>
      <c r="V110" s="172"/>
      <c r="W110" s="173"/>
      <c r="X110" s="174"/>
      <c r="Y110" s="169"/>
      <c r="Z110" s="175"/>
      <c r="AA110" s="176"/>
      <c r="AB110" s="177"/>
    </row>
    <row r="111" spans="1:28">
      <c r="A111" s="168"/>
      <c r="B111" s="168"/>
      <c r="C111" s="168"/>
      <c r="D111" s="178"/>
      <c r="E111" s="169"/>
      <c r="F111" s="169"/>
      <c r="G111" s="169"/>
      <c r="H111" s="169"/>
      <c r="I111" s="169"/>
      <c r="J111" s="169"/>
      <c r="K111" s="169"/>
      <c r="L111" s="169"/>
      <c r="M111" s="146"/>
      <c r="N111" s="146"/>
      <c r="O111" s="169"/>
      <c r="P111" s="170"/>
      <c r="Q111" s="170"/>
      <c r="R111" s="171"/>
      <c r="S111" s="171"/>
      <c r="T111" s="146"/>
      <c r="U111" s="146"/>
      <c r="V111" s="172"/>
      <c r="W111" s="173"/>
      <c r="X111" s="174"/>
      <c r="Y111" s="169"/>
      <c r="Z111" s="175"/>
      <c r="AA111" s="176"/>
      <c r="AB111" s="177"/>
    </row>
    <row r="112" spans="1:28">
      <c r="A112" s="168"/>
      <c r="B112" s="168"/>
      <c r="C112" s="168"/>
      <c r="D112" s="178"/>
      <c r="E112" s="169"/>
      <c r="F112" s="169"/>
      <c r="G112" s="169"/>
      <c r="H112" s="169"/>
      <c r="I112" s="169"/>
      <c r="J112" s="169"/>
      <c r="K112" s="169"/>
      <c r="L112" s="169"/>
      <c r="M112" s="146"/>
      <c r="N112" s="146"/>
      <c r="O112" s="169"/>
      <c r="P112" s="170"/>
      <c r="Q112" s="170"/>
      <c r="R112" s="171"/>
      <c r="S112" s="171"/>
      <c r="T112" s="146"/>
      <c r="U112" s="146"/>
      <c r="V112" s="172"/>
      <c r="W112" s="173"/>
      <c r="X112" s="174"/>
      <c r="Y112" s="169"/>
      <c r="Z112" s="175"/>
      <c r="AA112" s="176"/>
      <c r="AB112" s="177"/>
    </row>
    <row r="113" spans="1:28">
      <c r="A113" s="168"/>
      <c r="B113" s="168"/>
      <c r="C113" s="168"/>
      <c r="D113" s="178"/>
      <c r="E113" s="169"/>
      <c r="F113" s="169"/>
      <c r="G113" s="169"/>
      <c r="H113" s="169"/>
      <c r="I113" s="169"/>
      <c r="J113" s="169"/>
      <c r="K113" s="169"/>
      <c r="L113" s="169"/>
      <c r="M113" s="146"/>
      <c r="N113" s="146"/>
      <c r="O113" s="169"/>
      <c r="P113" s="170"/>
      <c r="Q113" s="170"/>
      <c r="R113" s="171"/>
      <c r="S113" s="171"/>
      <c r="T113" s="146"/>
      <c r="U113" s="146"/>
      <c r="V113" s="172"/>
      <c r="W113" s="173"/>
      <c r="X113" s="174"/>
      <c r="Y113" s="169"/>
      <c r="Z113" s="175"/>
      <c r="AA113" s="176"/>
      <c r="AB113" s="177"/>
    </row>
    <row r="114" spans="1:28">
      <c r="A114" s="168"/>
      <c r="B114" s="168"/>
      <c r="C114" s="168"/>
      <c r="D114" s="178"/>
      <c r="E114" s="169"/>
      <c r="F114" s="169"/>
      <c r="G114" s="169"/>
      <c r="H114" s="169"/>
      <c r="I114" s="169"/>
      <c r="J114" s="169"/>
      <c r="K114" s="169"/>
      <c r="L114" s="169"/>
      <c r="M114" s="146"/>
      <c r="N114" s="146"/>
      <c r="O114" s="169"/>
      <c r="P114" s="170"/>
      <c r="Q114" s="170"/>
      <c r="R114" s="171"/>
      <c r="S114" s="171"/>
      <c r="T114" s="146"/>
      <c r="U114" s="146"/>
      <c r="V114" s="172"/>
      <c r="W114" s="173"/>
      <c r="X114" s="174"/>
      <c r="Y114" s="169"/>
      <c r="Z114" s="175"/>
      <c r="AA114" s="176"/>
      <c r="AB114" s="177"/>
    </row>
    <row r="115" spans="1:28">
      <c r="A115" s="168"/>
      <c r="B115" s="168"/>
      <c r="C115" s="168"/>
      <c r="D115" s="178"/>
      <c r="E115" s="169"/>
      <c r="F115" s="169"/>
      <c r="G115" s="169"/>
      <c r="H115" s="169"/>
      <c r="I115" s="169"/>
      <c r="J115" s="169"/>
      <c r="K115" s="169"/>
      <c r="L115" s="169"/>
      <c r="M115" s="146"/>
      <c r="N115" s="146"/>
      <c r="O115" s="169"/>
      <c r="P115" s="170"/>
      <c r="Q115" s="170"/>
      <c r="R115" s="171"/>
      <c r="S115" s="171"/>
      <c r="T115" s="146"/>
      <c r="U115" s="146"/>
      <c r="V115" s="172"/>
      <c r="W115" s="173"/>
      <c r="X115" s="174"/>
      <c r="Y115" s="169"/>
      <c r="Z115" s="175"/>
      <c r="AA115" s="176"/>
      <c r="AB115" s="177"/>
    </row>
    <row r="116" spans="1:28">
      <c r="A116" s="168"/>
      <c r="B116" s="168"/>
      <c r="C116" s="168"/>
      <c r="D116" s="178"/>
      <c r="E116" s="169"/>
      <c r="F116" s="169"/>
      <c r="G116" s="169"/>
      <c r="H116" s="169"/>
      <c r="I116" s="169"/>
      <c r="J116" s="169"/>
      <c r="K116" s="169"/>
      <c r="L116" s="169"/>
      <c r="M116" s="146"/>
      <c r="N116" s="146"/>
      <c r="O116" s="169"/>
      <c r="P116" s="170"/>
      <c r="Q116" s="170"/>
      <c r="R116" s="171"/>
      <c r="S116" s="171"/>
      <c r="T116" s="146"/>
      <c r="U116" s="146"/>
      <c r="V116" s="172"/>
      <c r="W116" s="173"/>
      <c r="X116" s="174"/>
      <c r="Y116" s="169"/>
      <c r="Z116" s="175"/>
      <c r="AA116" s="176"/>
      <c r="AB116" s="177"/>
    </row>
    <row r="117" spans="1:28">
      <c r="A117" s="168"/>
      <c r="B117" s="168"/>
      <c r="C117" s="168"/>
      <c r="D117" s="178"/>
      <c r="E117" s="169"/>
      <c r="F117" s="169"/>
      <c r="G117" s="169"/>
      <c r="H117" s="169"/>
      <c r="I117" s="169"/>
      <c r="J117" s="169"/>
      <c r="K117" s="169"/>
      <c r="L117" s="169"/>
      <c r="M117" s="146"/>
      <c r="N117" s="146"/>
      <c r="O117" s="169"/>
      <c r="P117" s="170"/>
      <c r="Q117" s="170"/>
      <c r="R117" s="171"/>
      <c r="S117" s="171"/>
      <c r="T117" s="146"/>
      <c r="U117" s="146"/>
      <c r="V117" s="172"/>
      <c r="W117" s="173"/>
      <c r="X117" s="174"/>
      <c r="Y117" s="169"/>
      <c r="Z117" s="175"/>
      <c r="AA117" s="176"/>
      <c r="AB117" s="177"/>
    </row>
    <row r="118" spans="1:28">
      <c r="A118" s="168"/>
      <c r="B118" s="168"/>
      <c r="C118" s="168"/>
      <c r="D118" s="178"/>
      <c r="E118" s="169"/>
      <c r="F118" s="169"/>
      <c r="G118" s="169"/>
      <c r="H118" s="169"/>
      <c r="I118" s="169"/>
      <c r="J118" s="169"/>
      <c r="K118" s="169"/>
      <c r="L118" s="169"/>
      <c r="M118" s="146"/>
      <c r="N118" s="146"/>
      <c r="O118" s="169"/>
      <c r="P118" s="170"/>
      <c r="Q118" s="170"/>
      <c r="R118" s="171"/>
      <c r="S118" s="171"/>
      <c r="T118" s="146"/>
      <c r="U118" s="146"/>
      <c r="V118" s="172"/>
      <c r="W118" s="173"/>
      <c r="X118" s="174"/>
      <c r="Y118" s="169"/>
      <c r="Z118" s="175"/>
      <c r="AA118" s="176"/>
      <c r="AB118" s="177"/>
    </row>
    <row r="119" spans="1:28">
      <c r="A119" s="168"/>
      <c r="B119" s="168"/>
      <c r="C119" s="168"/>
      <c r="D119" s="178"/>
      <c r="E119" s="169"/>
      <c r="F119" s="169"/>
      <c r="G119" s="169"/>
      <c r="H119" s="169"/>
      <c r="I119" s="169"/>
      <c r="J119" s="169"/>
      <c r="K119" s="169"/>
      <c r="L119" s="169"/>
      <c r="M119" s="146"/>
      <c r="N119" s="146"/>
      <c r="O119" s="169"/>
      <c r="P119" s="170"/>
      <c r="Q119" s="170"/>
      <c r="R119" s="171"/>
      <c r="S119" s="171"/>
      <c r="T119" s="146"/>
      <c r="U119" s="146"/>
      <c r="V119" s="172"/>
      <c r="W119" s="173"/>
      <c r="X119" s="174"/>
      <c r="Y119" s="169"/>
      <c r="Z119" s="175"/>
      <c r="AA119" s="176"/>
      <c r="AB119" s="177"/>
    </row>
    <row r="120" spans="1:28">
      <c r="A120" s="168"/>
      <c r="B120" s="168"/>
      <c r="C120" s="168"/>
      <c r="D120" s="178"/>
      <c r="E120" s="169"/>
      <c r="F120" s="169"/>
      <c r="G120" s="169"/>
      <c r="H120" s="169"/>
      <c r="I120" s="169"/>
      <c r="J120" s="169"/>
      <c r="K120" s="169"/>
      <c r="L120" s="169"/>
      <c r="M120" s="146"/>
      <c r="N120" s="146"/>
      <c r="O120" s="169"/>
      <c r="P120" s="170"/>
      <c r="Q120" s="170"/>
      <c r="R120" s="171"/>
      <c r="S120" s="171"/>
      <c r="T120" s="146"/>
      <c r="U120" s="146"/>
      <c r="V120" s="172"/>
      <c r="W120" s="173"/>
      <c r="X120" s="174"/>
      <c r="Y120" s="169"/>
      <c r="Z120" s="175"/>
      <c r="AA120" s="176"/>
      <c r="AB120" s="177"/>
    </row>
    <row r="121" spans="1:28">
      <c r="A121" s="168"/>
      <c r="B121" s="168"/>
      <c r="C121" s="168"/>
      <c r="D121" s="178"/>
      <c r="E121" s="169"/>
      <c r="F121" s="169"/>
      <c r="G121" s="169"/>
      <c r="H121" s="169"/>
      <c r="I121" s="169"/>
      <c r="J121" s="169"/>
      <c r="K121" s="169"/>
      <c r="L121" s="169"/>
      <c r="M121" s="146"/>
      <c r="N121" s="146"/>
      <c r="O121" s="169"/>
      <c r="P121" s="170"/>
      <c r="Q121" s="170"/>
      <c r="R121" s="171"/>
      <c r="S121" s="171"/>
      <c r="T121" s="146"/>
      <c r="U121" s="146"/>
      <c r="V121" s="172"/>
      <c r="W121" s="173"/>
      <c r="X121" s="174"/>
      <c r="Y121" s="169"/>
      <c r="Z121" s="175"/>
      <c r="AA121" s="176"/>
      <c r="AB121" s="177"/>
    </row>
    <row r="122" spans="1:28">
      <c r="A122" s="168"/>
      <c r="B122" s="168"/>
      <c r="C122" s="168"/>
      <c r="D122" s="178"/>
      <c r="E122" s="169"/>
      <c r="F122" s="169"/>
      <c r="G122" s="169"/>
      <c r="H122" s="169"/>
      <c r="I122" s="169"/>
      <c r="J122" s="169"/>
      <c r="K122" s="169"/>
      <c r="L122" s="169"/>
      <c r="M122" s="146"/>
      <c r="N122" s="146"/>
      <c r="O122" s="169"/>
      <c r="P122" s="170"/>
      <c r="Q122" s="170"/>
      <c r="R122" s="171"/>
      <c r="S122" s="171"/>
      <c r="T122" s="146"/>
      <c r="U122" s="146"/>
      <c r="V122" s="172"/>
      <c r="W122" s="173"/>
      <c r="X122" s="174"/>
      <c r="Y122" s="169"/>
      <c r="Z122" s="175"/>
      <c r="AA122" s="176"/>
      <c r="AB122" s="177"/>
    </row>
    <row r="123" spans="1:28">
      <c r="A123" s="168"/>
      <c r="B123" s="168"/>
      <c r="C123" s="168"/>
      <c r="D123" s="178"/>
      <c r="E123" s="169"/>
      <c r="F123" s="169"/>
      <c r="G123" s="169"/>
      <c r="H123" s="169"/>
      <c r="I123" s="169"/>
      <c r="J123" s="169"/>
      <c r="K123" s="169"/>
      <c r="L123" s="169"/>
      <c r="M123" s="146"/>
      <c r="N123" s="146"/>
      <c r="O123" s="169"/>
      <c r="P123" s="170"/>
      <c r="Q123" s="170"/>
      <c r="R123" s="171"/>
      <c r="S123" s="171"/>
      <c r="T123" s="146"/>
      <c r="U123" s="146"/>
      <c r="V123" s="172"/>
      <c r="W123" s="173"/>
      <c r="X123" s="174"/>
      <c r="Y123" s="169"/>
      <c r="Z123" s="175"/>
      <c r="AA123" s="176"/>
      <c r="AB123" s="177"/>
    </row>
    <row r="124" spans="1:28">
      <c r="A124" s="180"/>
      <c r="B124" s="180"/>
      <c r="C124" s="180"/>
      <c r="D124" s="181"/>
      <c r="E124" s="182"/>
      <c r="F124" s="182"/>
      <c r="G124" s="182"/>
      <c r="H124" s="182"/>
      <c r="I124" s="182"/>
      <c r="J124" s="182"/>
      <c r="K124" s="182"/>
      <c r="L124" s="182"/>
      <c r="M124" s="183"/>
      <c r="N124" s="183"/>
      <c r="O124" s="182"/>
      <c r="P124" s="184"/>
      <c r="Q124" s="184"/>
      <c r="R124" s="185"/>
      <c r="S124" s="185"/>
      <c r="T124" s="183"/>
      <c r="U124" s="183"/>
      <c r="V124" s="186"/>
      <c r="W124" s="187"/>
      <c r="X124" s="188"/>
      <c r="Y124" s="182"/>
      <c r="Z124" s="189"/>
      <c r="AA124" s="190"/>
      <c r="AB124" s="191"/>
    </row>
    <row r="125" spans="1:28">
      <c r="A125" s="168"/>
      <c r="B125" s="168"/>
      <c r="C125" s="168"/>
      <c r="D125" s="178"/>
      <c r="E125" s="169"/>
      <c r="F125" s="169"/>
      <c r="G125" s="169"/>
      <c r="H125" s="169"/>
      <c r="I125" s="169"/>
      <c r="J125" s="169"/>
      <c r="K125" s="169"/>
      <c r="L125" s="169"/>
      <c r="M125" s="146"/>
      <c r="N125" s="146"/>
      <c r="O125" s="169"/>
      <c r="P125" s="170"/>
      <c r="Q125" s="170"/>
      <c r="R125" s="171"/>
      <c r="S125" s="171"/>
      <c r="T125" s="146"/>
      <c r="U125" s="146"/>
      <c r="V125" s="172"/>
      <c r="W125" s="173"/>
      <c r="X125" s="174"/>
      <c r="Y125" s="169"/>
      <c r="Z125" s="175"/>
      <c r="AA125" s="176"/>
      <c r="AB125" s="177"/>
    </row>
    <row r="126" spans="1:28">
      <c r="A126" s="168"/>
      <c r="B126" s="168"/>
      <c r="C126" s="168"/>
      <c r="D126" s="178"/>
      <c r="E126" s="169"/>
      <c r="F126" s="169"/>
      <c r="G126" s="169"/>
      <c r="H126" s="169"/>
      <c r="I126" s="169"/>
      <c r="J126" s="169"/>
      <c r="K126" s="169"/>
      <c r="L126" s="169"/>
      <c r="M126" s="146"/>
      <c r="N126" s="146"/>
      <c r="O126" s="169"/>
      <c r="P126" s="170"/>
      <c r="Q126" s="170"/>
      <c r="R126" s="171"/>
      <c r="S126" s="171"/>
      <c r="T126" s="146"/>
      <c r="U126" s="146"/>
      <c r="V126" s="172"/>
      <c r="W126" s="173"/>
      <c r="X126" s="174"/>
      <c r="Y126" s="169"/>
      <c r="Z126" s="175"/>
      <c r="AA126" s="176"/>
      <c r="AB126" s="177"/>
    </row>
    <row r="127" spans="1:28">
      <c r="A127" s="168"/>
      <c r="B127" s="168"/>
      <c r="C127" s="168"/>
      <c r="D127" s="178"/>
      <c r="E127" s="169"/>
      <c r="F127" s="169"/>
      <c r="G127" s="169"/>
      <c r="H127" s="169"/>
      <c r="I127" s="169"/>
      <c r="J127" s="169"/>
      <c r="K127" s="169"/>
      <c r="L127" s="169"/>
      <c r="M127" s="146"/>
      <c r="N127" s="146"/>
      <c r="O127" s="169"/>
      <c r="P127" s="170"/>
      <c r="Q127" s="170"/>
      <c r="R127" s="171"/>
      <c r="S127" s="171"/>
      <c r="T127" s="146"/>
      <c r="U127" s="146"/>
      <c r="V127" s="172"/>
      <c r="W127" s="173"/>
      <c r="X127" s="174"/>
      <c r="Y127" s="169"/>
      <c r="Z127" s="175"/>
      <c r="AA127" s="176"/>
      <c r="AB127" s="177"/>
    </row>
    <row r="128" spans="1:28">
      <c r="A128" s="168"/>
      <c r="B128" s="168"/>
      <c r="C128" s="168"/>
      <c r="D128" s="178"/>
      <c r="E128" s="169"/>
      <c r="F128" s="169"/>
      <c r="G128" s="169"/>
      <c r="H128" s="169"/>
      <c r="I128" s="169"/>
      <c r="J128" s="169"/>
      <c r="K128" s="169"/>
      <c r="L128" s="169"/>
      <c r="M128" s="146"/>
      <c r="N128" s="146"/>
      <c r="O128" s="169"/>
      <c r="P128" s="170"/>
      <c r="Q128" s="170"/>
      <c r="R128" s="171"/>
      <c r="S128" s="171"/>
      <c r="T128" s="146"/>
      <c r="U128" s="146"/>
      <c r="V128" s="172"/>
      <c r="W128" s="173"/>
      <c r="X128" s="174"/>
      <c r="Y128" s="169"/>
      <c r="Z128" s="175"/>
      <c r="AA128" s="176"/>
      <c r="AB128" s="177"/>
    </row>
    <row r="129" spans="1:28">
      <c r="A129" s="168"/>
      <c r="B129" s="168"/>
      <c r="C129" s="168"/>
      <c r="D129" s="178"/>
      <c r="E129" s="169"/>
      <c r="F129" s="169"/>
      <c r="G129" s="169"/>
      <c r="H129" s="169"/>
      <c r="I129" s="169"/>
      <c r="J129" s="169"/>
      <c r="K129" s="169"/>
      <c r="L129" s="169"/>
      <c r="M129" s="146"/>
      <c r="N129" s="146"/>
      <c r="O129" s="169"/>
      <c r="P129" s="170"/>
      <c r="Q129" s="170"/>
      <c r="R129" s="171"/>
      <c r="S129" s="171"/>
      <c r="T129" s="146"/>
      <c r="U129" s="146"/>
      <c r="V129" s="172"/>
      <c r="W129" s="173"/>
      <c r="X129" s="174"/>
      <c r="Y129" s="169"/>
      <c r="Z129" s="175"/>
      <c r="AA129" s="176"/>
      <c r="AB129" s="177"/>
    </row>
    <row r="130" spans="1:28">
      <c r="A130" s="180"/>
      <c r="B130" s="180"/>
      <c r="C130" s="180"/>
      <c r="D130" s="181"/>
      <c r="E130" s="182"/>
      <c r="F130" s="182"/>
      <c r="G130" s="182"/>
      <c r="H130" s="182"/>
      <c r="I130" s="182"/>
      <c r="J130" s="182"/>
      <c r="K130" s="182"/>
      <c r="L130" s="182"/>
      <c r="M130" s="183"/>
      <c r="N130" s="183"/>
      <c r="O130" s="182"/>
      <c r="P130" s="184"/>
      <c r="Q130" s="184"/>
      <c r="R130" s="185"/>
      <c r="S130" s="185"/>
      <c r="T130" s="183"/>
      <c r="U130" s="183"/>
      <c r="V130" s="186"/>
      <c r="W130" s="187"/>
      <c r="X130" s="188"/>
      <c r="Y130" s="182"/>
      <c r="Z130" s="189"/>
      <c r="AA130" s="190"/>
      <c r="AB130" s="191"/>
    </row>
    <row r="131" spans="1:28">
      <c r="A131" s="168"/>
      <c r="B131" s="168"/>
      <c r="C131" s="168"/>
      <c r="D131" s="178"/>
      <c r="E131" s="169"/>
      <c r="F131" s="169"/>
      <c r="G131" s="169"/>
      <c r="H131" s="169"/>
      <c r="I131" s="169"/>
      <c r="J131" s="169"/>
      <c r="K131" s="169"/>
      <c r="L131" s="169"/>
      <c r="M131" s="146"/>
      <c r="N131" s="146"/>
      <c r="O131" s="169"/>
      <c r="P131" s="170"/>
      <c r="Q131" s="170"/>
      <c r="R131" s="171"/>
      <c r="S131" s="171"/>
      <c r="T131" s="146"/>
      <c r="U131" s="146"/>
      <c r="V131" s="172"/>
      <c r="W131" s="173"/>
      <c r="X131" s="174"/>
      <c r="Y131" s="169"/>
      <c r="Z131" s="175"/>
      <c r="AA131" s="176"/>
      <c r="AB131" s="177"/>
    </row>
    <row r="132" spans="1:28">
      <c r="A132" s="168"/>
      <c r="B132" s="168"/>
      <c r="C132" s="168"/>
      <c r="D132" s="178"/>
      <c r="E132" s="169"/>
      <c r="F132" s="169"/>
      <c r="G132" s="169"/>
      <c r="H132" s="169"/>
      <c r="I132" s="169"/>
      <c r="J132" s="169"/>
      <c r="K132" s="169"/>
      <c r="L132" s="169"/>
      <c r="M132" s="146"/>
      <c r="N132" s="146"/>
      <c r="O132" s="169"/>
      <c r="P132" s="170"/>
      <c r="Q132" s="170"/>
      <c r="R132" s="171"/>
      <c r="S132" s="171"/>
      <c r="T132" s="146"/>
      <c r="U132" s="146"/>
      <c r="V132" s="172"/>
      <c r="W132" s="173"/>
      <c r="X132" s="174"/>
      <c r="Y132" s="169"/>
      <c r="Z132" s="175"/>
      <c r="AA132" s="176"/>
      <c r="AB132" s="177"/>
    </row>
    <row r="133" spans="1:28">
      <c r="A133" s="168"/>
      <c r="B133" s="168"/>
      <c r="C133" s="168"/>
      <c r="D133" s="178"/>
      <c r="E133" s="169"/>
      <c r="F133" s="169"/>
      <c r="G133" s="169"/>
      <c r="H133" s="169"/>
      <c r="I133" s="169"/>
      <c r="J133" s="169"/>
      <c r="K133" s="169"/>
      <c r="L133" s="169"/>
      <c r="M133" s="146"/>
      <c r="N133" s="146"/>
      <c r="O133" s="169"/>
      <c r="P133" s="170"/>
      <c r="Q133" s="170"/>
      <c r="R133" s="171"/>
      <c r="S133" s="171"/>
      <c r="T133" s="146"/>
      <c r="U133" s="146"/>
      <c r="V133" s="172"/>
      <c r="W133" s="173"/>
      <c r="X133" s="174"/>
      <c r="Y133" s="169"/>
      <c r="Z133" s="175"/>
      <c r="AA133" s="176"/>
      <c r="AB133" s="177"/>
    </row>
    <row r="134" spans="1:28">
      <c r="A134" s="168"/>
      <c r="B134" s="168"/>
      <c r="C134" s="168"/>
      <c r="D134" s="178"/>
      <c r="E134" s="169"/>
      <c r="F134" s="169"/>
      <c r="G134" s="169"/>
      <c r="H134" s="169"/>
      <c r="I134" s="169"/>
      <c r="J134" s="169"/>
      <c r="K134" s="169"/>
      <c r="L134" s="169"/>
      <c r="M134" s="146"/>
      <c r="N134" s="146"/>
      <c r="O134" s="169"/>
      <c r="P134" s="170"/>
      <c r="Q134" s="170"/>
      <c r="R134" s="171"/>
      <c r="S134" s="171"/>
      <c r="T134" s="146"/>
      <c r="U134" s="146"/>
      <c r="V134" s="172"/>
      <c r="W134" s="173"/>
      <c r="X134" s="174"/>
      <c r="Y134" s="169"/>
      <c r="Z134" s="175"/>
      <c r="AA134" s="176"/>
      <c r="AB134" s="177"/>
    </row>
    <row r="135" spans="1:28">
      <c r="A135" s="168"/>
      <c r="B135" s="168"/>
      <c r="C135" s="168"/>
      <c r="D135" s="178"/>
      <c r="E135" s="169"/>
      <c r="F135" s="169"/>
      <c r="G135" s="169"/>
      <c r="H135" s="169"/>
      <c r="I135" s="169"/>
      <c r="J135" s="169"/>
      <c r="K135" s="169"/>
      <c r="L135" s="169"/>
      <c r="M135" s="146"/>
      <c r="N135" s="146"/>
      <c r="O135" s="169"/>
      <c r="P135" s="170"/>
      <c r="Q135" s="170"/>
      <c r="R135" s="171"/>
      <c r="S135" s="171"/>
      <c r="T135" s="146"/>
      <c r="U135" s="146"/>
      <c r="V135" s="172"/>
      <c r="W135" s="173"/>
      <c r="X135" s="174"/>
      <c r="Y135" s="169"/>
      <c r="Z135" s="175"/>
      <c r="AA135" s="176"/>
      <c r="AB135" s="177"/>
    </row>
    <row r="136" spans="1:28">
      <c r="A136" s="168"/>
      <c r="B136" s="168"/>
      <c r="C136" s="168"/>
      <c r="D136" s="178"/>
      <c r="E136" s="169"/>
      <c r="F136" s="169"/>
      <c r="G136" s="169"/>
      <c r="H136" s="169"/>
      <c r="I136" s="169"/>
      <c r="J136" s="169"/>
      <c r="K136" s="169"/>
      <c r="L136" s="169"/>
      <c r="M136" s="146"/>
      <c r="N136" s="146"/>
      <c r="O136" s="169"/>
      <c r="P136" s="170"/>
      <c r="Q136" s="170"/>
      <c r="R136" s="171"/>
      <c r="S136" s="171"/>
      <c r="T136" s="146"/>
      <c r="U136" s="146"/>
      <c r="V136" s="172"/>
      <c r="W136" s="173"/>
      <c r="X136" s="174"/>
      <c r="Y136" s="169"/>
      <c r="Z136" s="175"/>
      <c r="AA136" s="176"/>
      <c r="AB136" s="177"/>
    </row>
    <row r="137" spans="1:28">
      <c r="A137" s="168"/>
      <c r="B137" s="168"/>
      <c r="C137" s="168"/>
      <c r="D137" s="178"/>
      <c r="E137" s="169"/>
      <c r="F137" s="169"/>
      <c r="G137" s="169"/>
      <c r="H137" s="169"/>
      <c r="I137" s="169"/>
      <c r="J137" s="169"/>
      <c r="K137" s="169"/>
      <c r="L137" s="169"/>
      <c r="M137" s="146"/>
      <c r="N137" s="146"/>
      <c r="O137" s="169"/>
      <c r="P137" s="170"/>
      <c r="Q137" s="170"/>
      <c r="R137" s="171"/>
      <c r="S137" s="171"/>
      <c r="T137" s="146"/>
      <c r="U137" s="146"/>
      <c r="V137" s="172"/>
      <c r="W137" s="173"/>
      <c r="X137" s="174"/>
      <c r="Y137" s="169"/>
      <c r="Z137" s="175"/>
      <c r="AA137" s="176"/>
      <c r="AB137" s="177"/>
    </row>
    <row r="138" spans="1:28">
      <c r="A138" s="168"/>
      <c r="B138" s="168"/>
      <c r="C138" s="168"/>
      <c r="D138" s="178"/>
      <c r="E138" s="169"/>
      <c r="F138" s="169"/>
      <c r="G138" s="169"/>
      <c r="H138" s="169"/>
      <c r="I138" s="169"/>
      <c r="J138" s="169"/>
      <c r="K138" s="169"/>
      <c r="L138" s="169"/>
      <c r="M138" s="146"/>
      <c r="N138" s="146"/>
      <c r="O138" s="169"/>
      <c r="P138" s="170"/>
      <c r="Q138" s="170"/>
      <c r="R138" s="171"/>
      <c r="S138" s="171"/>
      <c r="T138" s="146"/>
      <c r="U138" s="146"/>
      <c r="V138" s="172"/>
      <c r="W138" s="173"/>
      <c r="X138" s="174"/>
      <c r="Y138" s="169"/>
      <c r="Z138" s="175"/>
      <c r="AA138" s="176"/>
      <c r="AB138" s="177"/>
    </row>
    <row r="139" spans="1:28">
      <c r="A139" s="168"/>
      <c r="B139" s="168"/>
      <c r="C139" s="168"/>
      <c r="D139" s="178"/>
      <c r="E139" s="169"/>
      <c r="F139" s="169"/>
      <c r="G139" s="169"/>
      <c r="H139" s="169"/>
      <c r="I139" s="169"/>
      <c r="J139" s="169"/>
      <c r="K139" s="169"/>
      <c r="L139" s="169"/>
      <c r="M139" s="146"/>
      <c r="N139" s="146"/>
      <c r="O139" s="169"/>
      <c r="P139" s="170"/>
      <c r="Q139" s="170"/>
      <c r="R139" s="171"/>
      <c r="S139" s="171"/>
      <c r="T139" s="146"/>
      <c r="U139" s="146"/>
      <c r="V139" s="172"/>
      <c r="W139" s="173"/>
      <c r="X139" s="174"/>
      <c r="Y139" s="169"/>
      <c r="Z139" s="175"/>
      <c r="AA139" s="176"/>
      <c r="AB139" s="177"/>
    </row>
    <row r="140" spans="1:28">
      <c r="A140" s="168"/>
      <c r="B140" s="168"/>
      <c r="C140" s="168"/>
      <c r="D140" s="178"/>
      <c r="E140" s="169"/>
      <c r="F140" s="169"/>
      <c r="G140" s="169"/>
      <c r="H140" s="169"/>
      <c r="I140" s="169"/>
      <c r="J140" s="169"/>
      <c r="K140" s="169"/>
      <c r="L140" s="169"/>
      <c r="M140" s="146"/>
      <c r="N140" s="146"/>
      <c r="O140" s="169"/>
      <c r="P140" s="170"/>
      <c r="Q140" s="170"/>
      <c r="R140" s="171"/>
      <c r="S140" s="171"/>
      <c r="T140" s="146"/>
      <c r="U140" s="146"/>
      <c r="V140" s="172"/>
      <c r="W140" s="173"/>
      <c r="X140" s="174"/>
      <c r="Y140" s="169"/>
      <c r="Z140" s="175"/>
      <c r="AA140" s="176"/>
      <c r="AB140" s="177"/>
    </row>
    <row r="141" spans="1:28">
      <c r="A141" s="168"/>
      <c r="B141" s="168"/>
      <c r="C141" s="168"/>
      <c r="D141" s="178"/>
      <c r="E141" s="169"/>
      <c r="F141" s="169"/>
      <c r="G141" s="169"/>
      <c r="H141" s="169"/>
      <c r="I141" s="169"/>
      <c r="J141" s="169"/>
      <c r="K141" s="169"/>
      <c r="L141" s="169"/>
      <c r="M141" s="146"/>
      <c r="N141" s="146"/>
      <c r="O141" s="169"/>
      <c r="P141" s="170"/>
      <c r="Q141" s="170"/>
      <c r="R141" s="171"/>
      <c r="S141" s="171"/>
      <c r="T141" s="146"/>
      <c r="U141" s="146"/>
      <c r="V141" s="172"/>
      <c r="W141" s="173"/>
      <c r="X141" s="174"/>
      <c r="Y141" s="169"/>
      <c r="Z141" s="175"/>
      <c r="AA141" s="176"/>
      <c r="AB141" s="177"/>
    </row>
    <row r="142" spans="1:28">
      <c r="A142" s="168"/>
      <c r="B142" s="168"/>
      <c r="C142" s="168"/>
      <c r="D142" s="178"/>
      <c r="E142" s="169"/>
      <c r="F142" s="169"/>
      <c r="G142" s="169"/>
      <c r="H142" s="169"/>
      <c r="I142" s="169"/>
      <c r="J142" s="169"/>
      <c r="K142" s="169"/>
      <c r="L142" s="169"/>
      <c r="M142" s="146"/>
      <c r="N142" s="146"/>
      <c r="O142" s="169"/>
      <c r="P142" s="170"/>
      <c r="Q142" s="170"/>
      <c r="R142" s="171"/>
      <c r="S142" s="171"/>
      <c r="T142" s="146"/>
      <c r="U142" s="146"/>
      <c r="V142" s="172"/>
      <c r="W142" s="173"/>
      <c r="X142" s="174"/>
      <c r="Y142" s="169"/>
      <c r="Z142" s="175"/>
      <c r="AA142" s="176"/>
      <c r="AB142" s="177"/>
    </row>
    <row r="143" spans="1:28">
      <c r="A143" s="168"/>
      <c r="B143" s="168"/>
      <c r="C143" s="168"/>
      <c r="D143" s="178"/>
      <c r="E143" s="169"/>
      <c r="F143" s="169"/>
      <c r="G143" s="169"/>
      <c r="H143" s="169"/>
      <c r="I143" s="169"/>
      <c r="J143" s="169"/>
      <c r="K143" s="169"/>
      <c r="L143" s="169"/>
      <c r="M143" s="146"/>
      <c r="N143" s="146"/>
      <c r="O143" s="169"/>
      <c r="P143" s="170"/>
      <c r="Q143" s="170"/>
      <c r="R143" s="171"/>
      <c r="S143" s="171"/>
      <c r="T143" s="146"/>
      <c r="U143" s="146"/>
      <c r="V143" s="172"/>
      <c r="W143" s="173"/>
      <c r="X143" s="174"/>
      <c r="Y143" s="169"/>
      <c r="Z143" s="175"/>
      <c r="AA143" s="176"/>
      <c r="AB143" s="177"/>
    </row>
    <row r="144" spans="1:28">
      <c r="A144" s="168"/>
      <c r="B144" s="168"/>
      <c r="C144" s="168"/>
      <c r="D144" s="178"/>
      <c r="E144" s="169"/>
      <c r="F144" s="169"/>
      <c r="G144" s="169"/>
      <c r="H144" s="169"/>
      <c r="I144" s="169"/>
      <c r="J144" s="169"/>
      <c r="K144" s="169"/>
      <c r="L144" s="169"/>
      <c r="M144" s="146"/>
      <c r="N144" s="146"/>
      <c r="O144" s="169"/>
      <c r="P144" s="170"/>
      <c r="Q144" s="170"/>
      <c r="R144" s="171"/>
      <c r="S144" s="171"/>
      <c r="T144" s="146"/>
      <c r="U144" s="146"/>
      <c r="V144" s="172"/>
      <c r="W144" s="173"/>
      <c r="X144" s="174"/>
      <c r="Y144" s="169"/>
      <c r="Z144" s="175"/>
      <c r="AA144" s="176"/>
      <c r="AB144" s="177"/>
    </row>
    <row r="145" spans="1:28">
      <c r="A145" s="168"/>
      <c r="B145" s="168"/>
      <c r="C145" s="168"/>
      <c r="D145" s="178"/>
      <c r="E145" s="169"/>
      <c r="F145" s="169"/>
      <c r="G145" s="169"/>
      <c r="H145" s="169"/>
      <c r="I145" s="169"/>
      <c r="J145" s="169"/>
      <c r="K145" s="169"/>
      <c r="L145" s="169"/>
      <c r="M145" s="146"/>
      <c r="N145" s="146"/>
      <c r="O145" s="169"/>
      <c r="P145" s="170"/>
      <c r="Q145" s="170"/>
      <c r="R145" s="171"/>
      <c r="S145" s="171"/>
      <c r="T145" s="146"/>
      <c r="U145" s="146"/>
      <c r="V145" s="172"/>
      <c r="W145" s="173"/>
      <c r="X145" s="174"/>
      <c r="Y145" s="169"/>
      <c r="Z145" s="175"/>
      <c r="AA145" s="176"/>
      <c r="AB145" s="177"/>
    </row>
    <row r="146" spans="1:28">
      <c r="A146" s="168"/>
      <c r="B146" s="168"/>
      <c r="C146" s="168"/>
      <c r="D146" s="178"/>
      <c r="E146" s="169"/>
      <c r="F146" s="169"/>
      <c r="G146" s="169"/>
      <c r="H146" s="169"/>
      <c r="I146" s="169"/>
      <c r="J146" s="169"/>
      <c r="K146" s="169"/>
      <c r="L146" s="169"/>
      <c r="M146" s="146"/>
      <c r="N146" s="146"/>
      <c r="O146" s="169"/>
      <c r="P146" s="170"/>
      <c r="Q146" s="170"/>
      <c r="R146" s="171"/>
      <c r="S146" s="171"/>
      <c r="T146" s="146"/>
      <c r="U146" s="146"/>
      <c r="V146" s="172"/>
      <c r="W146" s="173"/>
      <c r="X146" s="174"/>
      <c r="Y146" s="169"/>
      <c r="Z146" s="175"/>
      <c r="AA146" s="176"/>
      <c r="AB146" s="177"/>
    </row>
    <row r="147" spans="1:28">
      <c r="A147" s="168"/>
      <c r="B147" s="168"/>
      <c r="C147" s="168"/>
      <c r="D147" s="178"/>
      <c r="E147" s="169"/>
      <c r="F147" s="169"/>
      <c r="G147" s="169"/>
      <c r="H147" s="169"/>
      <c r="I147" s="169"/>
      <c r="J147" s="169"/>
      <c r="K147" s="169"/>
      <c r="L147" s="169"/>
      <c r="M147" s="146"/>
      <c r="N147" s="146"/>
      <c r="O147" s="169"/>
      <c r="P147" s="170"/>
      <c r="Q147" s="170"/>
      <c r="R147" s="171"/>
      <c r="S147" s="171"/>
      <c r="T147" s="146"/>
      <c r="U147" s="146"/>
      <c r="V147" s="172"/>
      <c r="W147" s="173"/>
      <c r="X147" s="174"/>
      <c r="Y147" s="169"/>
      <c r="Z147" s="175"/>
      <c r="AA147" s="176"/>
      <c r="AB147" s="177"/>
    </row>
    <row r="148" spans="1:28">
      <c r="A148" s="168"/>
      <c r="B148" s="168"/>
      <c r="C148" s="168"/>
      <c r="D148" s="178"/>
      <c r="E148" s="169"/>
      <c r="F148" s="169"/>
      <c r="G148" s="169"/>
      <c r="H148" s="169"/>
      <c r="I148" s="169"/>
      <c r="J148" s="169"/>
      <c r="K148" s="169"/>
      <c r="L148" s="169"/>
      <c r="M148" s="146"/>
      <c r="N148" s="146"/>
      <c r="O148" s="169"/>
      <c r="P148" s="170"/>
      <c r="Q148" s="170"/>
      <c r="R148" s="171"/>
      <c r="S148" s="171"/>
      <c r="T148" s="146"/>
      <c r="U148" s="146"/>
      <c r="V148" s="172"/>
      <c r="W148" s="173"/>
      <c r="X148" s="174"/>
      <c r="Y148" s="169"/>
      <c r="Z148" s="175"/>
      <c r="AA148" s="176"/>
      <c r="AB148" s="177"/>
    </row>
    <row r="149" spans="1:28">
      <c r="A149" s="168"/>
      <c r="B149" s="168"/>
      <c r="C149" s="168"/>
      <c r="D149" s="178"/>
      <c r="E149" s="169"/>
      <c r="F149" s="169"/>
      <c r="G149" s="169"/>
      <c r="H149" s="169"/>
      <c r="I149" s="169"/>
      <c r="J149" s="169"/>
      <c r="K149" s="169"/>
      <c r="L149" s="169"/>
      <c r="M149" s="146"/>
      <c r="N149" s="146"/>
      <c r="O149" s="169"/>
      <c r="P149" s="170"/>
      <c r="Q149" s="170"/>
      <c r="R149" s="171"/>
      <c r="S149" s="171"/>
      <c r="T149" s="146"/>
      <c r="U149" s="146"/>
      <c r="V149" s="172"/>
      <c r="W149" s="173"/>
      <c r="X149" s="174"/>
      <c r="Y149" s="169"/>
      <c r="Z149" s="175"/>
      <c r="AA149" s="176"/>
      <c r="AB149" s="177"/>
    </row>
    <row r="150" spans="1:28">
      <c r="A150" s="168"/>
      <c r="B150" s="168"/>
      <c r="C150" s="168"/>
      <c r="D150" s="178"/>
      <c r="E150" s="169"/>
      <c r="F150" s="169"/>
      <c r="G150" s="169"/>
      <c r="H150" s="169"/>
      <c r="I150" s="169"/>
      <c r="J150" s="169"/>
      <c r="K150" s="169"/>
      <c r="L150" s="169"/>
      <c r="M150" s="146"/>
      <c r="N150" s="146"/>
      <c r="O150" s="169"/>
      <c r="P150" s="170"/>
      <c r="Q150" s="170"/>
      <c r="R150" s="171"/>
      <c r="S150" s="171"/>
      <c r="T150" s="146"/>
      <c r="U150" s="146"/>
      <c r="V150" s="172"/>
      <c r="W150" s="173"/>
      <c r="X150" s="174"/>
      <c r="Y150" s="169"/>
      <c r="Z150" s="175"/>
      <c r="AA150" s="176"/>
      <c r="AB150" s="177"/>
    </row>
    <row r="151" spans="1:28">
      <c r="A151" s="168"/>
      <c r="B151" s="168"/>
      <c r="C151" s="168"/>
      <c r="D151" s="178"/>
      <c r="E151" s="169"/>
      <c r="F151" s="169"/>
      <c r="G151" s="169"/>
      <c r="H151" s="169"/>
      <c r="I151" s="169"/>
      <c r="J151" s="169"/>
      <c r="K151" s="169"/>
      <c r="L151" s="169"/>
      <c r="M151" s="146"/>
      <c r="N151" s="146"/>
      <c r="O151" s="169"/>
      <c r="P151" s="170"/>
      <c r="Q151" s="170"/>
      <c r="R151" s="171"/>
      <c r="S151" s="171"/>
      <c r="T151" s="146"/>
      <c r="U151" s="146"/>
      <c r="V151" s="172"/>
      <c r="W151" s="173"/>
      <c r="X151" s="174"/>
      <c r="Y151" s="169"/>
      <c r="Z151" s="175"/>
      <c r="AA151" s="176"/>
      <c r="AB151" s="177"/>
    </row>
    <row r="152" spans="1:28">
      <c r="A152" s="168"/>
      <c r="B152" s="168"/>
      <c r="C152" s="168"/>
      <c r="D152" s="178"/>
      <c r="E152" s="169"/>
      <c r="F152" s="169"/>
      <c r="G152" s="169"/>
      <c r="H152" s="169"/>
      <c r="I152" s="169"/>
      <c r="J152" s="169"/>
      <c r="K152" s="169"/>
      <c r="L152" s="169"/>
      <c r="M152" s="146"/>
      <c r="N152" s="146"/>
      <c r="O152" s="169"/>
      <c r="P152" s="170"/>
      <c r="Q152" s="170"/>
      <c r="R152" s="171"/>
      <c r="S152" s="171"/>
      <c r="T152" s="146"/>
      <c r="U152" s="146"/>
      <c r="V152" s="172"/>
      <c r="W152" s="173"/>
      <c r="X152" s="174"/>
      <c r="Y152" s="169"/>
      <c r="Z152" s="175"/>
      <c r="AA152" s="176"/>
      <c r="AB152" s="177"/>
    </row>
    <row r="153" spans="1:28">
      <c r="A153" s="168"/>
      <c r="B153" s="168"/>
      <c r="C153" s="168"/>
      <c r="D153" s="178"/>
      <c r="E153" s="169"/>
      <c r="F153" s="169"/>
      <c r="G153" s="169"/>
      <c r="H153" s="169"/>
      <c r="I153" s="169"/>
      <c r="J153" s="169"/>
      <c r="K153" s="169"/>
      <c r="L153" s="169"/>
      <c r="M153" s="146"/>
      <c r="N153" s="146"/>
      <c r="O153" s="169"/>
      <c r="P153" s="170"/>
      <c r="Q153" s="170"/>
      <c r="R153" s="171"/>
      <c r="S153" s="171"/>
      <c r="T153" s="146"/>
      <c r="U153" s="146"/>
      <c r="V153" s="172"/>
      <c r="W153" s="173"/>
      <c r="X153" s="174"/>
      <c r="Y153" s="169"/>
      <c r="Z153" s="175"/>
      <c r="AA153" s="176"/>
      <c r="AB153" s="177"/>
    </row>
    <row r="154" spans="1:28">
      <c r="A154" s="168"/>
      <c r="B154" s="168"/>
      <c r="C154" s="168"/>
      <c r="D154" s="178"/>
      <c r="E154" s="169"/>
      <c r="F154" s="169"/>
      <c r="G154" s="169"/>
      <c r="H154" s="169"/>
      <c r="I154" s="169"/>
      <c r="J154" s="169"/>
      <c r="K154" s="169"/>
      <c r="L154" s="169"/>
      <c r="M154" s="146"/>
      <c r="N154" s="146"/>
      <c r="O154" s="169"/>
      <c r="P154" s="170"/>
      <c r="Q154" s="170"/>
      <c r="R154" s="171"/>
      <c r="S154" s="171"/>
      <c r="T154" s="146"/>
      <c r="U154" s="146"/>
      <c r="V154" s="172"/>
      <c r="W154" s="173"/>
      <c r="X154" s="174"/>
      <c r="Y154" s="169"/>
      <c r="Z154" s="175"/>
      <c r="AA154" s="176"/>
      <c r="AB154" s="177"/>
    </row>
    <row r="155" spans="1:28">
      <c r="A155" s="168"/>
      <c r="B155" s="168"/>
      <c r="C155" s="168"/>
      <c r="D155" s="178"/>
      <c r="E155" s="169"/>
      <c r="F155" s="169"/>
      <c r="G155" s="169"/>
      <c r="H155" s="169"/>
      <c r="I155" s="169"/>
      <c r="J155" s="169"/>
      <c r="K155" s="169"/>
      <c r="L155" s="169"/>
      <c r="M155" s="146"/>
      <c r="N155" s="146"/>
      <c r="O155" s="169"/>
      <c r="P155" s="170"/>
      <c r="Q155" s="170"/>
      <c r="R155" s="171"/>
      <c r="S155" s="171"/>
      <c r="T155" s="146"/>
      <c r="U155" s="146"/>
      <c r="V155" s="172"/>
      <c r="W155" s="173"/>
      <c r="X155" s="174"/>
      <c r="Y155" s="169"/>
      <c r="Z155" s="175"/>
      <c r="AA155" s="176"/>
      <c r="AB155" s="177"/>
    </row>
    <row r="156" spans="1:28">
      <c r="A156" s="168"/>
      <c r="B156" s="168"/>
      <c r="C156" s="168"/>
      <c r="D156" s="178"/>
      <c r="E156" s="169"/>
      <c r="F156" s="169"/>
      <c r="G156" s="169"/>
      <c r="H156" s="169"/>
      <c r="I156" s="169"/>
      <c r="J156" s="169"/>
      <c r="K156" s="169"/>
      <c r="L156" s="169"/>
      <c r="M156" s="146"/>
      <c r="N156" s="146"/>
      <c r="O156" s="169"/>
      <c r="P156" s="170"/>
      <c r="Q156" s="170"/>
      <c r="R156" s="171"/>
      <c r="S156" s="171"/>
      <c r="T156" s="146"/>
      <c r="U156" s="146"/>
      <c r="V156" s="172"/>
      <c r="W156" s="173"/>
      <c r="X156" s="174"/>
      <c r="Y156" s="169"/>
      <c r="Z156" s="175"/>
      <c r="AA156" s="176"/>
      <c r="AB156" s="177"/>
    </row>
    <row r="157" spans="1:28">
      <c r="A157" s="168"/>
      <c r="B157" s="168"/>
      <c r="C157" s="168"/>
      <c r="D157" s="178"/>
      <c r="E157" s="169"/>
      <c r="F157" s="169"/>
      <c r="G157" s="169"/>
      <c r="H157" s="169"/>
      <c r="I157" s="169"/>
      <c r="J157" s="169"/>
      <c r="K157" s="169"/>
      <c r="L157" s="169"/>
      <c r="M157" s="146"/>
      <c r="N157" s="146"/>
      <c r="O157" s="169"/>
      <c r="P157" s="170"/>
      <c r="Q157" s="170"/>
      <c r="R157" s="171"/>
      <c r="S157" s="171"/>
      <c r="T157" s="146"/>
      <c r="U157" s="146"/>
      <c r="V157" s="172"/>
      <c r="W157" s="173"/>
      <c r="X157" s="174"/>
      <c r="Y157" s="169"/>
      <c r="Z157" s="175"/>
      <c r="AA157" s="176"/>
      <c r="AB157" s="177"/>
    </row>
    <row r="158" spans="1:28">
      <c r="A158" s="168"/>
      <c r="B158" s="168"/>
      <c r="C158" s="168"/>
      <c r="D158" s="178"/>
      <c r="E158" s="169"/>
      <c r="F158" s="169"/>
      <c r="G158" s="169"/>
      <c r="H158" s="169"/>
      <c r="I158" s="169"/>
      <c r="J158" s="169"/>
      <c r="K158" s="169"/>
      <c r="L158" s="169"/>
      <c r="M158" s="146"/>
      <c r="N158" s="146"/>
      <c r="O158" s="169"/>
      <c r="P158" s="170"/>
      <c r="Q158" s="170"/>
      <c r="R158" s="171"/>
      <c r="S158" s="171"/>
      <c r="T158" s="146"/>
      <c r="U158" s="146"/>
      <c r="V158" s="172"/>
      <c r="W158" s="173"/>
      <c r="X158" s="174"/>
      <c r="Y158" s="169"/>
      <c r="Z158" s="175"/>
      <c r="AA158" s="176"/>
      <c r="AB158" s="177"/>
    </row>
    <row r="159" spans="1:28">
      <c r="A159" s="168"/>
      <c r="B159" s="168"/>
      <c r="C159" s="168"/>
      <c r="D159" s="178"/>
      <c r="E159" s="169"/>
      <c r="F159" s="169"/>
      <c r="G159" s="169"/>
      <c r="H159" s="169"/>
      <c r="I159" s="169"/>
      <c r="J159" s="169"/>
      <c r="K159" s="169"/>
      <c r="L159" s="169"/>
      <c r="M159" s="146"/>
      <c r="N159" s="146"/>
      <c r="O159" s="169"/>
      <c r="P159" s="170"/>
      <c r="Q159" s="170"/>
      <c r="R159" s="171"/>
      <c r="S159" s="171"/>
      <c r="T159" s="146"/>
      <c r="U159" s="146"/>
      <c r="V159" s="172"/>
      <c r="W159" s="173"/>
      <c r="X159" s="174"/>
      <c r="Y159" s="169"/>
      <c r="Z159" s="175"/>
      <c r="AA159" s="176"/>
      <c r="AB159" s="177"/>
    </row>
    <row r="160" spans="1:28">
      <c r="A160" s="168"/>
      <c r="B160" s="168"/>
      <c r="C160" s="168"/>
      <c r="D160" s="178"/>
      <c r="E160" s="169"/>
      <c r="F160" s="169"/>
      <c r="G160" s="169"/>
      <c r="H160" s="169"/>
      <c r="I160" s="169"/>
      <c r="J160" s="169"/>
      <c r="K160" s="169"/>
      <c r="L160" s="169"/>
      <c r="M160" s="146"/>
      <c r="N160" s="146"/>
      <c r="O160" s="169"/>
      <c r="P160" s="170"/>
      <c r="Q160" s="170"/>
      <c r="R160" s="171"/>
      <c r="S160" s="171"/>
      <c r="T160" s="146"/>
      <c r="U160" s="146"/>
      <c r="V160" s="172"/>
      <c r="W160" s="173"/>
      <c r="X160" s="174"/>
      <c r="Y160" s="169"/>
      <c r="Z160" s="175"/>
      <c r="AA160" s="176"/>
      <c r="AB160" s="177"/>
    </row>
    <row r="161" spans="1:28">
      <c r="A161" s="168"/>
      <c r="B161" s="168"/>
      <c r="C161" s="168"/>
      <c r="D161" s="178"/>
      <c r="E161" s="169"/>
      <c r="F161" s="169"/>
      <c r="G161" s="169"/>
      <c r="H161" s="169"/>
      <c r="I161" s="169"/>
      <c r="J161" s="169"/>
      <c r="K161" s="169"/>
      <c r="L161" s="169"/>
      <c r="M161" s="146"/>
      <c r="N161" s="146"/>
      <c r="O161" s="169"/>
      <c r="P161" s="170"/>
      <c r="Q161" s="170"/>
      <c r="R161" s="171"/>
      <c r="S161" s="171"/>
      <c r="T161" s="146"/>
      <c r="U161" s="146"/>
      <c r="V161" s="172"/>
      <c r="W161" s="173"/>
      <c r="X161" s="174"/>
      <c r="Y161" s="169"/>
      <c r="Z161" s="175"/>
      <c r="AA161" s="176"/>
      <c r="AB161" s="177"/>
    </row>
    <row r="162" spans="1:28">
      <c r="A162" s="168"/>
      <c r="B162" s="168"/>
      <c r="C162" s="168"/>
      <c r="D162" s="178"/>
      <c r="E162" s="169"/>
      <c r="F162" s="169"/>
      <c r="G162" s="169"/>
      <c r="H162" s="169"/>
      <c r="I162" s="169"/>
      <c r="J162" s="169"/>
      <c r="K162" s="169"/>
      <c r="L162" s="169"/>
      <c r="M162" s="146"/>
      <c r="N162" s="146"/>
      <c r="O162" s="169"/>
      <c r="P162" s="170"/>
      <c r="Q162" s="170"/>
      <c r="R162" s="171"/>
      <c r="S162" s="171"/>
      <c r="T162" s="146"/>
      <c r="U162" s="146"/>
      <c r="V162" s="172"/>
      <c r="W162" s="173"/>
      <c r="X162" s="174"/>
      <c r="Y162" s="169"/>
      <c r="Z162" s="175"/>
      <c r="AA162" s="176"/>
      <c r="AB162" s="177"/>
    </row>
    <row r="163" spans="1:28">
      <c r="A163" s="168"/>
      <c r="B163" s="168"/>
      <c r="C163" s="168"/>
      <c r="D163" s="178"/>
      <c r="E163" s="169"/>
      <c r="F163" s="169"/>
      <c r="G163" s="169"/>
      <c r="H163" s="169"/>
      <c r="I163" s="169"/>
      <c r="J163" s="169"/>
      <c r="K163" s="169"/>
      <c r="L163" s="169"/>
      <c r="M163" s="146"/>
      <c r="N163" s="146"/>
      <c r="O163" s="169"/>
      <c r="P163" s="170"/>
      <c r="Q163" s="170"/>
      <c r="R163" s="171"/>
      <c r="S163" s="171"/>
      <c r="T163" s="146"/>
      <c r="U163" s="146"/>
      <c r="V163" s="172"/>
      <c r="W163" s="173"/>
      <c r="X163" s="174"/>
      <c r="Y163" s="169"/>
      <c r="Z163" s="175"/>
      <c r="AA163" s="176"/>
      <c r="AB163" s="177"/>
    </row>
    <row r="164" spans="1:28">
      <c r="A164" s="168"/>
      <c r="B164" s="168"/>
      <c r="C164" s="168"/>
      <c r="D164" s="178"/>
      <c r="E164" s="169"/>
      <c r="F164" s="169"/>
      <c r="G164" s="169"/>
      <c r="H164" s="169"/>
      <c r="I164" s="169"/>
      <c r="J164" s="169"/>
      <c r="K164" s="169"/>
      <c r="L164" s="169"/>
      <c r="M164" s="146"/>
      <c r="N164" s="146"/>
      <c r="O164" s="169"/>
      <c r="P164" s="170"/>
      <c r="Q164" s="170"/>
      <c r="R164" s="171"/>
      <c r="S164" s="171"/>
      <c r="T164" s="146"/>
      <c r="U164" s="146"/>
      <c r="V164" s="172"/>
      <c r="W164" s="173"/>
      <c r="X164" s="174"/>
      <c r="Y164" s="169"/>
      <c r="Z164" s="175"/>
      <c r="AA164" s="176"/>
      <c r="AB164" s="177"/>
    </row>
    <row r="165" spans="1:28">
      <c r="A165" s="168"/>
      <c r="B165" s="168"/>
      <c r="C165" s="168"/>
      <c r="D165" s="178"/>
      <c r="E165" s="169"/>
      <c r="F165" s="169"/>
      <c r="G165" s="169"/>
      <c r="H165" s="169"/>
      <c r="I165" s="169"/>
      <c r="J165" s="169"/>
      <c r="K165" s="169"/>
      <c r="L165" s="169"/>
      <c r="M165" s="146"/>
      <c r="N165" s="146"/>
      <c r="O165" s="169"/>
      <c r="P165" s="170"/>
      <c r="Q165" s="170"/>
      <c r="R165" s="171"/>
      <c r="S165" s="171"/>
      <c r="T165" s="146"/>
      <c r="U165" s="146"/>
      <c r="V165" s="172"/>
      <c r="W165" s="173"/>
      <c r="X165" s="174"/>
      <c r="Y165" s="169"/>
      <c r="Z165" s="175"/>
      <c r="AA165" s="176"/>
      <c r="AB165" s="177"/>
    </row>
    <row r="166" spans="1:28">
      <c r="A166" s="168"/>
      <c r="B166" s="168"/>
      <c r="C166" s="168"/>
      <c r="D166" s="178"/>
      <c r="E166" s="169"/>
      <c r="F166" s="169"/>
      <c r="G166" s="169"/>
      <c r="H166" s="169"/>
      <c r="I166" s="169"/>
      <c r="J166" s="169"/>
      <c r="K166" s="169"/>
      <c r="L166" s="169"/>
      <c r="M166" s="146"/>
      <c r="N166" s="146"/>
      <c r="O166" s="169"/>
      <c r="P166" s="170"/>
      <c r="Q166" s="170"/>
      <c r="R166" s="171"/>
      <c r="S166" s="171"/>
      <c r="T166" s="146"/>
      <c r="U166" s="146"/>
      <c r="V166" s="172"/>
      <c r="W166" s="173"/>
      <c r="X166" s="174"/>
      <c r="Y166" s="169"/>
      <c r="Z166" s="175"/>
      <c r="AA166" s="176"/>
      <c r="AB166" s="177"/>
    </row>
    <row r="167" spans="1:28">
      <c r="A167" s="168"/>
      <c r="B167" s="168"/>
      <c r="C167" s="168"/>
      <c r="D167" s="178"/>
      <c r="E167" s="169"/>
      <c r="F167" s="169"/>
      <c r="G167" s="169"/>
      <c r="H167" s="169"/>
      <c r="I167" s="169"/>
      <c r="J167" s="169"/>
      <c r="K167" s="169"/>
      <c r="L167" s="169"/>
      <c r="M167" s="146"/>
      <c r="N167" s="146"/>
      <c r="O167" s="169"/>
      <c r="P167" s="170"/>
      <c r="Q167" s="170"/>
      <c r="R167" s="171"/>
      <c r="S167" s="171"/>
      <c r="T167" s="146"/>
      <c r="U167" s="146"/>
      <c r="V167" s="172"/>
      <c r="W167" s="173"/>
      <c r="X167" s="174"/>
      <c r="Y167" s="169"/>
      <c r="Z167" s="175"/>
      <c r="AA167" s="176"/>
      <c r="AB167" s="177"/>
    </row>
    <row r="168" spans="1:28">
      <c r="A168" s="168"/>
      <c r="B168" s="168"/>
      <c r="C168" s="168"/>
      <c r="D168" s="178"/>
      <c r="E168" s="169"/>
      <c r="F168" s="169"/>
      <c r="G168" s="169"/>
      <c r="H168" s="169"/>
      <c r="I168" s="169"/>
      <c r="J168" s="169"/>
      <c r="K168" s="169"/>
      <c r="L168" s="169"/>
      <c r="M168" s="146"/>
      <c r="N168" s="146"/>
      <c r="O168" s="169"/>
      <c r="P168" s="170"/>
      <c r="Q168" s="170"/>
      <c r="R168" s="171"/>
      <c r="S168" s="171"/>
      <c r="T168" s="146"/>
      <c r="U168" s="146"/>
      <c r="V168" s="172"/>
      <c r="W168" s="173"/>
      <c r="X168" s="174"/>
      <c r="Y168" s="169"/>
      <c r="Z168" s="175"/>
      <c r="AA168" s="176"/>
      <c r="AB168" s="177"/>
    </row>
    <row r="169" spans="1:28">
      <c r="A169" s="168"/>
      <c r="B169" s="168"/>
      <c r="C169" s="168"/>
      <c r="D169" s="178"/>
      <c r="E169" s="169"/>
      <c r="F169" s="169"/>
      <c r="G169" s="169"/>
      <c r="H169" s="169"/>
      <c r="I169" s="169"/>
      <c r="J169" s="169"/>
      <c r="K169" s="169"/>
      <c r="L169" s="169"/>
      <c r="M169" s="146"/>
      <c r="N169" s="146"/>
      <c r="O169" s="169"/>
      <c r="P169" s="170"/>
      <c r="Q169" s="170"/>
      <c r="R169" s="171"/>
      <c r="S169" s="171"/>
      <c r="T169" s="146"/>
      <c r="U169" s="146"/>
      <c r="V169" s="172"/>
      <c r="W169" s="173"/>
      <c r="X169" s="174"/>
      <c r="Y169" s="169"/>
      <c r="Z169" s="175"/>
      <c r="AA169" s="176"/>
      <c r="AB169" s="177"/>
    </row>
    <row r="170" spans="1:28">
      <c r="A170" s="168"/>
      <c r="B170" s="168"/>
      <c r="C170" s="168"/>
      <c r="D170" s="178"/>
      <c r="E170" s="169"/>
      <c r="F170" s="169"/>
      <c r="G170" s="169"/>
      <c r="H170" s="169"/>
      <c r="I170" s="169"/>
      <c r="J170" s="169"/>
      <c r="K170" s="169"/>
      <c r="L170" s="169"/>
      <c r="M170" s="146"/>
      <c r="N170" s="146"/>
      <c r="O170" s="169"/>
      <c r="P170" s="170"/>
      <c r="Q170" s="170"/>
      <c r="R170" s="171"/>
      <c r="S170" s="171"/>
      <c r="T170" s="146"/>
      <c r="U170" s="146"/>
      <c r="V170" s="172"/>
      <c r="W170" s="173"/>
      <c r="X170" s="174"/>
      <c r="Y170" s="169"/>
      <c r="Z170" s="175"/>
      <c r="AA170" s="176"/>
      <c r="AB170" s="177"/>
    </row>
    <row r="171" spans="1:28">
      <c r="A171" s="168"/>
      <c r="B171" s="168"/>
      <c r="C171" s="168"/>
      <c r="D171" s="179"/>
      <c r="E171" s="169"/>
      <c r="F171" s="169"/>
      <c r="G171" s="169"/>
      <c r="H171" s="169"/>
      <c r="I171" s="169"/>
      <c r="J171" s="169"/>
      <c r="K171" s="169"/>
      <c r="L171" s="169"/>
      <c r="M171" s="146"/>
      <c r="N171" s="146"/>
      <c r="O171" s="169"/>
      <c r="P171" s="170"/>
      <c r="Q171" s="170"/>
      <c r="R171" s="171"/>
      <c r="S171" s="171"/>
      <c r="T171" s="146"/>
      <c r="U171" s="146"/>
      <c r="V171" s="172"/>
      <c r="W171" s="173"/>
      <c r="X171" s="174"/>
      <c r="Y171" s="169"/>
      <c r="Z171" s="175"/>
      <c r="AA171" s="176"/>
      <c r="AB171" s="177"/>
    </row>
    <row r="172" spans="1:28">
      <c r="A172" s="168"/>
      <c r="B172" s="168"/>
      <c r="C172" s="168"/>
      <c r="D172" s="178"/>
      <c r="E172" s="169"/>
      <c r="F172" s="169"/>
      <c r="G172" s="169"/>
      <c r="H172" s="169"/>
      <c r="I172" s="169"/>
      <c r="J172" s="169"/>
      <c r="K172" s="169"/>
      <c r="L172" s="169"/>
      <c r="M172" s="146"/>
      <c r="N172" s="146"/>
      <c r="O172" s="169"/>
      <c r="P172" s="170"/>
      <c r="Q172" s="170"/>
      <c r="R172" s="171"/>
      <c r="S172" s="171"/>
      <c r="T172" s="146"/>
      <c r="U172" s="146"/>
      <c r="V172" s="172"/>
      <c r="W172" s="173"/>
      <c r="X172" s="174"/>
      <c r="Y172" s="169"/>
      <c r="Z172" s="175"/>
      <c r="AA172" s="176"/>
      <c r="AB172" s="177"/>
    </row>
    <row r="173" spans="1:28">
      <c r="A173" s="168"/>
      <c r="B173" s="168"/>
      <c r="C173" s="168"/>
      <c r="D173" s="178"/>
      <c r="E173" s="169"/>
      <c r="F173" s="169"/>
      <c r="G173" s="169"/>
      <c r="H173" s="169"/>
      <c r="I173" s="169"/>
      <c r="J173" s="169"/>
      <c r="K173" s="169"/>
      <c r="L173" s="169"/>
      <c r="M173" s="146"/>
      <c r="N173" s="146"/>
      <c r="O173" s="169"/>
      <c r="P173" s="170"/>
      <c r="Q173" s="170"/>
      <c r="R173" s="171"/>
      <c r="S173" s="171"/>
      <c r="T173" s="146"/>
      <c r="U173" s="146"/>
      <c r="V173" s="172"/>
      <c r="W173" s="173"/>
      <c r="X173" s="174"/>
      <c r="Y173" s="169"/>
      <c r="Z173" s="175"/>
      <c r="AA173" s="176"/>
      <c r="AB173" s="177"/>
    </row>
    <row r="174" spans="1:28">
      <c r="A174" s="168"/>
      <c r="B174" s="168"/>
      <c r="C174" s="168"/>
      <c r="D174" s="178"/>
      <c r="E174" s="169"/>
      <c r="F174" s="169"/>
      <c r="G174" s="169"/>
      <c r="H174" s="169"/>
      <c r="I174" s="169"/>
      <c r="J174" s="169"/>
      <c r="K174" s="169"/>
      <c r="L174" s="169"/>
      <c r="M174" s="146"/>
      <c r="N174" s="146"/>
      <c r="O174" s="169"/>
      <c r="P174" s="170"/>
      <c r="Q174" s="170"/>
      <c r="R174" s="171"/>
      <c r="S174" s="171"/>
      <c r="T174" s="146"/>
      <c r="U174" s="146"/>
      <c r="V174" s="172"/>
      <c r="W174" s="173"/>
      <c r="X174" s="174"/>
      <c r="Y174" s="169"/>
      <c r="Z174" s="175"/>
      <c r="AA174" s="176"/>
      <c r="AB174" s="177"/>
    </row>
    <row r="175" spans="1:28">
      <c r="A175" s="168"/>
      <c r="B175" s="168"/>
      <c r="C175" s="168"/>
      <c r="D175" s="178"/>
      <c r="E175" s="169"/>
      <c r="F175" s="169"/>
      <c r="G175" s="169"/>
      <c r="H175" s="169"/>
      <c r="I175" s="169"/>
      <c r="J175" s="169"/>
      <c r="K175" s="169"/>
      <c r="L175" s="169"/>
      <c r="M175" s="146"/>
      <c r="N175" s="146"/>
      <c r="O175" s="169"/>
      <c r="P175" s="170"/>
      <c r="Q175" s="170"/>
      <c r="R175" s="171"/>
      <c r="S175" s="171"/>
      <c r="T175" s="146"/>
      <c r="U175" s="146"/>
      <c r="V175" s="172"/>
      <c r="W175" s="173"/>
      <c r="X175" s="174"/>
      <c r="Y175" s="169"/>
      <c r="Z175" s="175"/>
      <c r="AA175" s="176"/>
      <c r="AB175" s="177"/>
    </row>
    <row r="176" spans="1:28">
      <c r="A176" s="168"/>
      <c r="B176" s="168"/>
      <c r="C176" s="168"/>
      <c r="D176" s="178"/>
      <c r="E176" s="169"/>
      <c r="F176" s="169"/>
      <c r="G176" s="169"/>
      <c r="H176" s="169"/>
      <c r="I176" s="169"/>
      <c r="J176" s="169"/>
      <c r="K176" s="169"/>
      <c r="L176" s="169"/>
      <c r="M176" s="146"/>
      <c r="N176" s="146"/>
      <c r="O176" s="169"/>
      <c r="P176" s="170"/>
      <c r="Q176" s="170"/>
      <c r="R176" s="171"/>
      <c r="S176" s="171"/>
      <c r="T176" s="146"/>
      <c r="U176" s="146"/>
      <c r="V176" s="172"/>
      <c r="W176" s="173"/>
      <c r="X176" s="174"/>
      <c r="Y176" s="169"/>
      <c r="Z176" s="175"/>
      <c r="AA176" s="176"/>
      <c r="AB176" s="177"/>
    </row>
    <row r="177" spans="1:28">
      <c r="A177" s="168"/>
      <c r="B177" s="168"/>
      <c r="C177" s="168"/>
      <c r="D177" s="178"/>
      <c r="E177" s="169"/>
      <c r="F177" s="169"/>
      <c r="G177" s="169"/>
      <c r="H177" s="169"/>
      <c r="I177" s="169"/>
      <c r="J177" s="169"/>
      <c r="K177" s="169"/>
      <c r="L177" s="169"/>
      <c r="M177" s="146"/>
      <c r="N177" s="146"/>
      <c r="O177" s="169"/>
      <c r="P177" s="170"/>
      <c r="Q177" s="170"/>
      <c r="R177" s="171"/>
      <c r="S177" s="171"/>
      <c r="T177" s="146"/>
      <c r="U177" s="146"/>
      <c r="V177" s="172"/>
      <c r="W177" s="173"/>
      <c r="X177" s="174"/>
      <c r="Y177" s="169"/>
      <c r="Z177" s="175"/>
      <c r="AA177" s="176"/>
      <c r="AB177" s="177"/>
    </row>
    <row r="178" spans="1:28">
      <c r="A178" s="168"/>
      <c r="B178" s="168"/>
      <c r="C178" s="168"/>
      <c r="D178" s="178"/>
      <c r="E178" s="169"/>
      <c r="F178" s="169"/>
      <c r="G178" s="169"/>
      <c r="H178" s="169"/>
      <c r="I178" s="169"/>
      <c r="J178" s="169"/>
      <c r="K178" s="169"/>
      <c r="L178" s="169"/>
      <c r="M178" s="146"/>
      <c r="N178" s="146"/>
      <c r="O178" s="169"/>
      <c r="P178" s="170"/>
      <c r="Q178" s="170"/>
      <c r="R178" s="171"/>
      <c r="S178" s="171"/>
      <c r="T178" s="146"/>
      <c r="U178" s="146"/>
      <c r="V178" s="172"/>
      <c r="W178" s="173"/>
      <c r="X178" s="174"/>
      <c r="Y178" s="169"/>
      <c r="Z178" s="175"/>
      <c r="AA178" s="176"/>
      <c r="AB178" s="177"/>
    </row>
    <row r="179" spans="1:28">
      <c r="A179" s="168"/>
      <c r="B179" s="168"/>
      <c r="C179" s="168"/>
      <c r="D179" s="178"/>
      <c r="E179" s="169"/>
      <c r="F179" s="169"/>
      <c r="G179" s="169"/>
      <c r="H179" s="169"/>
      <c r="I179" s="169"/>
      <c r="J179" s="169"/>
      <c r="K179" s="169"/>
      <c r="L179" s="169"/>
      <c r="M179" s="146"/>
      <c r="N179" s="146"/>
      <c r="O179" s="169"/>
      <c r="P179" s="170"/>
      <c r="Q179" s="170"/>
      <c r="R179" s="171"/>
      <c r="S179" s="171"/>
      <c r="T179" s="146"/>
      <c r="U179" s="146"/>
      <c r="V179" s="172"/>
      <c r="W179" s="173"/>
      <c r="X179" s="174"/>
      <c r="Y179" s="169"/>
      <c r="Z179" s="175"/>
      <c r="AA179" s="176"/>
      <c r="AB179" s="177"/>
    </row>
    <row r="180" spans="1:28">
      <c r="A180" s="168"/>
      <c r="B180" s="168"/>
      <c r="C180" s="168"/>
      <c r="D180" s="178"/>
      <c r="E180" s="169"/>
      <c r="F180" s="169"/>
      <c r="G180" s="169"/>
      <c r="H180" s="169"/>
      <c r="I180" s="169"/>
      <c r="J180" s="169"/>
      <c r="K180" s="169"/>
      <c r="L180" s="169"/>
      <c r="M180" s="146"/>
      <c r="N180" s="146"/>
      <c r="O180" s="169"/>
      <c r="P180" s="170"/>
      <c r="Q180" s="170"/>
      <c r="R180" s="171"/>
      <c r="S180" s="171"/>
      <c r="T180" s="146"/>
      <c r="U180" s="146"/>
      <c r="V180" s="172"/>
      <c r="W180" s="173"/>
      <c r="X180" s="174"/>
      <c r="Y180" s="169"/>
      <c r="Z180" s="175"/>
      <c r="AA180" s="176"/>
      <c r="AB180" s="177"/>
    </row>
    <row r="181" spans="1:28">
      <c r="A181" s="168"/>
      <c r="B181" s="168"/>
      <c r="C181" s="168"/>
      <c r="D181" s="178"/>
      <c r="E181" s="169"/>
      <c r="F181" s="169"/>
      <c r="G181" s="169"/>
      <c r="H181" s="169"/>
      <c r="I181" s="169"/>
      <c r="J181" s="169"/>
      <c r="K181" s="169"/>
      <c r="L181" s="169"/>
      <c r="M181" s="146"/>
      <c r="N181" s="146"/>
      <c r="O181" s="169"/>
      <c r="P181" s="170"/>
      <c r="Q181" s="170"/>
      <c r="R181" s="171"/>
      <c r="S181" s="171"/>
      <c r="T181" s="146"/>
      <c r="U181" s="146"/>
      <c r="V181" s="172"/>
      <c r="W181" s="173"/>
      <c r="X181" s="174"/>
      <c r="Y181" s="169"/>
      <c r="Z181" s="175"/>
      <c r="AA181" s="176"/>
      <c r="AB181" s="177"/>
    </row>
    <row r="182" spans="1:28">
      <c r="A182" s="168"/>
      <c r="B182" s="168"/>
      <c r="C182" s="168"/>
      <c r="D182" s="178"/>
      <c r="E182" s="169"/>
      <c r="F182" s="169"/>
      <c r="G182" s="169"/>
      <c r="H182" s="169"/>
      <c r="I182" s="169"/>
      <c r="J182" s="169"/>
      <c r="K182" s="169"/>
      <c r="L182" s="169"/>
      <c r="M182" s="146"/>
      <c r="N182" s="146"/>
      <c r="O182" s="169"/>
      <c r="P182" s="170"/>
      <c r="Q182" s="170"/>
      <c r="R182" s="171"/>
      <c r="S182" s="171"/>
      <c r="T182" s="146"/>
      <c r="U182" s="146"/>
      <c r="V182" s="172"/>
      <c r="W182" s="173"/>
      <c r="X182" s="174"/>
      <c r="Y182" s="169"/>
      <c r="Z182" s="175"/>
      <c r="AA182" s="176"/>
      <c r="AB182" s="177"/>
    </row>
    <row r="183" spans="1:28">
      <c r="A183" s="168"/>
      <c r="B183" s="168"/>
      <c r="C183" s="168"/>
      <c r="D183" s="178"/>
      <c r="E183" s="169"/>
      <c r="F183" s="169"/>
      <c r="G183" s="169"/>
      <c r="H183" s="169"/>
      <c r="I183" s="169"/>
      <c r="J183" s="169"/>
      <c r="K183" s="169"/>
      <c r="L183" s="169"/>
      <c r="M183" s="146"/>
      <c r="N183" s="146"/>
      <c r="O183" s="169"/>
      <c r="P183" s="170"/>
      <c r="Q183" s="170"/>
      <c r="R183" s="171"/>
      <c r="S183" s="171"/>
      <c r="T183" s="146"/>
      <c r="U183" s="146"/>
      <c r="V183" s="172"/>
      <c r="W183" s="173"/>
      <c r="X183" s="174"/>
      <c r="Y183" s="169"/>
      <c r="Z183" s="175"/>
      <c r="AA183" s="176"/>
      <c r="AB183" s="177"/>
    </row>
    <row r="184" spans="1:28">
      <c r="A184" s="168"/>
      <c r="B184" s="168"/>
      <c r="C184" s="168"/>
      <c r="D184" s="178"/>
      <c r="E184" s="169"/>
      <c r="F184" s="169"/>
      <c r="G184" s="169"/>
      <c r="H184" s="169"/>
      <c r="I184" s="169"/>
      <c r="J184" s="169"/>
      <c r="K184" s="169"/>
      <c r="L184" s="169"/>
      <c r="M184" s="146"/>
      <c r="N184" s="146"/>
      <c r="O184" s="169"/>
      <c r="P184" s="170"/>
      <c r="Q184" s="170"/>
      <c r="R184" s="171"/>
      <c r="S184" s="171"/>
      <c r="T184" s="146"/>
      <c r="U184" s="146"/>
      <c r="V184" s="172"/>
      <c r="W184" s="173"/>
      <c r="X184" s="174"/>
      <c r="Y184" s="169"/>
      <c r="Z184" s="175"/>
      <c r="AA184" s="176"/>
      <c r="AB184" s="177"/>
    </row>
    <row r="185" spans="1:28">
      <c r="A185" s="168"/>
      <c r="B185" s="168"/>
      <c r="C185" s="168"/>
      <c r="D185" s="178"/>
      <c r="E185" s="169"/>
      <c r="F185" s="169"/>
      <c r="G185" s="169"/>
      <c r="H185" s="169"/>
      <c r="I185" s="169"/>
      <c r="J185" s="169"/>
      <c r="K185" s="169"/>
      <c r="L185" s="169"/>
      <c r="M185" s="146"/>
      <c r="N185" s="146"/>
      <c r="O185" s="169"/>
      <c r="P185" s="170"/>
      <c r="Q185" s="170"/>
      <c r="R185" s="171"/>
      <c r="S185" s="171"/>
      <c r="T185" s="146"/>
      <c r="U185" s="146"/>
      <c r="V185" s="172"/>
      <c r="W185" s="173"/>
      <c r="X185" s="174"/>
      <c r="Y185" s="169"/>
      <c r="Z185" s="175"/>
      <c r="AA185" s="176"/>
      <c r="AB185" s="177"/>
    </row>
    <row r="186" spans="1:28">
      <c r="A186" s="168"/>
      <c r="B186" s="168"/>
      <c r="C186" s="168"/>
      <c r="D186" s="178"/>
      <c r="E186" s="169"/>
      <c r="F186" s="169"/>
      <c r="G186" s="169"/>
      <c r="H186" s="169"/>
      <c r="I186" s="169"/>
      <c r="J186" s="169"/>
      <c r="K186" s="169"/>
      <c r="L186" s="169"/>
      <c r="M186" s="146"/>
      <c r="N186" s="146"/>
      <c r="O186" s="169"/>
      <c r="P186" s="170"/>
      <c r="Q186" s="170"/>
      <c r="R186" s="171"/>
      <c r="S186" s="171"/>
      <c r="T186" s="146"/>
      <c r="U186" s="146"/>
      <c r="V186" s="172"/>
      <c r="W186" s="173"/>
      <c r="X186" s="174"/>
      <c r="Y186" s="169"/>
      <c r="Z186" s="175"/>
      <c r="AA186" s="176"/>
      <c r="AB186" s="177"/>
    </row>
    <row r="187" spans="1:28">
      <c r="A187" s="168"/>
      <c r="B187" s="168"/>
      <c r="C187" s="168"/>
      <c r="D187" s="178"/>
      <c r="E187" s="169"/>
      <c r="F187" s="169"/>
      <c r="G187" s="169"/>
      <c r="H187" s="169"/>
      <c r="I187" s="169"/>
      <c r="J187" s="169"/>
      <c r="K187" s="169"/>
      <c r="L187" s="169"/>
      <c r="M187" s="146"/>
      <c r="N187" s="146"/>
      <c r="O187" s="169"/>
      <c r="P187" s="170"/>
      <c r="Q187" s="170"/>
      <c r="R187" s="171"/>
      <c r="S187" s="171"/>
      <c r="T187" s="146"/>
      <c r="U187" s="146"/>
      <c r="V187" s="172"/>
      <c r="W187" s="173"/>
      <c r="X187" s="174"/>
      <c r="Y187" s="169"/>
      <c r="Z187" s="175"/>
      <c r="AA187" s="176"/>
      <c r="AB187" s="177"/>
    </row>
    <row r="188" spans="1:28">
      <c r="A188" s="168"/>
      <c r="B188" s="168"/>
      <c r="C188" s="168"/>
      <c r="D188" s="178"/>
      <c r="E188" s="169"/>
      <c r="F188" s="169"/>
      <c r="G188" s="169"/>
      <c r="H188" s="169"/>
      <c r="I188" s="169"/>
      <c r="J188" s="169"/>
      <c r="K188" s="169"/>
      <c r="L188" s="169"/>
      <c r="M188" s="146"/>
      <c r="N188" s="146"/>
      <c r="O188" s="169"/>
      <c r="P188" s="170"/>
      <c r="Q188" s="170"/>
      <c r="R188" s="171"/>
      <c r="S188" s="171"/>
      <c r="T188" s="146"/>
      <c r="U188" s="146"/>
      <c r="V188" s="172"/>
      <c r="W188" s="173"/>
      <c r="X188" s="174"/>
      <c r="Y188" s="169"/>
      <c r="Z188" s="175"/>
      <c r="AA188" s="176"/>
      <c r="AB188" s="177"/>
    </row>
    <row r="189" spans="1:28">
      <c r="A189" s="168"/>
      <c r="B189" s="168"/>
      <c r="C189" s="168"/>
      <c r="D189" s="178"/>
      <c r="E189" s="169"/>
      <c r="F189" s="169"/>
      <c r="G189" s="169"/>
      <c r="H189" s="169"/>
      <c r="I189" s="169"/>
      <c r="J189" s="169"/>
      <c r="K189" s="169"/>
      <c r="L189" s="169"/>
      <c r="M189" s="146"/>
      <c r="N189" s="146"/>
      <c r="O189" s="169"/>
      <c r="P189" s="170"/>
      <c r="Q189" s="170"/>
      <c r="R189" s="171"/>
      <c r="S189" s="171"/>
      <c r="T189" s="146"/>
      <c r="U189" s="146"/>
      <c r="V189" s="172"/>
      <c r="W189" s="173"/>
      <c r="X189" s="174"/>
      <c r="Y189" s="169"/>
      <c r="Z189" s="175"/>
      <c r="AA189" s="176"/>
      <c r="AB189" s="177"/>
    </row>
    <row r="190" spans="1:28">
      <c r="A190" s="168"/>
      <c r="B190" s="168"/>
      <c r="C190" s="168"/>
      <c r="D190" s="178"/>
      <c r="E190" s="169"/>
      <c r="F190" s="169"/>
      <c r="G190" s="169"/>
      <c r="H190" s="169"/>
      <c r="I190" s="169"/>
      <c r="J190" s="169"/>
      <c r="K190" s="169"/>
      <c r="L190" s="169"/>
      <c r="M190" s="146"/>
      <c r="N190" s="146"/>
      <c r="O190" s="169"/>
      <c r="P190" s="170"/>
      <c r="Q190" s="170"/>
      <c r="R190" s="171"/>
      <c r="S190" s="171"/>
      <c r="T190" s="146"/>
      <c r="U190" s="146"/>
      <c r="V190" s="172"/>
      <c r="W190" s="173"/>
      <c r="X190" s="174"/>
      <c r="Y190" s="169"/>
      <c r="Z190" s="175"/>
      <c r="AA190" s="176"/>
      <c r="AB190" s="177"/>
    </row>
    <row r="191" spans="1:28">
      <c r="A191" s="168"/>
      <c r="B191" s="168"/>
      <c r="C191" s="168"/>
      <c r="D191" s="178"/>
      <c r="E191" s="169"/>
      <c r="F191" s="169"/>
      <c r="G191" s="169"/>
      <c r="H191" s="169"/>
      <c r="I191" s="169"/>
      <c r="J191" s="169"/>
      <c r="K191" s="169"/>
      <c r="L191" s="169"/>
      <c r="M191" s="146"/>
      <c r="N191" s="146"/>
      <c r="O191" s="169"/>
      <c r="P191" s="170"/>
      <c r="Q191" s="170"/>
      <c r="R191" s="171"/>
      <c r="S191" s="171"/>
      <c r="T191" s="146"/>
      <c r="U191" s="146"/>
      <c r="V191" s="172"/>
      <c r="W191" s="173"/>
      <c r="X191" s="174"/>
      <c r="Y191" s="169"/>
      <c r="Z191" s="175"/>
      <c r="AA191" s="176"/>
      <c r="AB191" s="177"/>
    </row>
    <row r="192" spans="1:28">
      <c r="A192" s="168"/>
      <c r="B192" s="168"/>
      <c r="C192" s="168"/>
      <c r="D192" s="178"/>
      <c r="E192" s="169"/>
      <c r="F192" s="169"/>
      <c r="G192" s="169"/>
      <c r="H192" s="169"/>
      <c r="I192" s="169"/>
      <c r="J192" s="169"/>
      <c r="K192" s="169"/>
      <c r="L192" s="169"/>
      <c r="M192" s="146"/>
      <c r="N192" s="146"/>
      <c r="O192" s="169"/>
      <c r="P192" s="170"/>
      <c r="Q192" s="170"/>
      <c r="R192" s="171"/>
      <c r="S192" s="171"/>
      <c r="T192" s="146"/>
      <c r="U192" s="146"/>
      <c r="V192" s="172"/>
      <c r="W192" s="173"/>
      <c r="X192" s="174"/>
      <c r="Y192" s="169"/>
      <c r="Z192" s="175"/>
      <c r="AA192" s="176"/>
      <c r="AB192" s="177"/>
    </row>
    <row r="193" spans="1:28">
      <c r="A193" s="168"/>
      <c r="B193" s="168"/>
      <c r="C193" s="168"/>
      <c r="D193" s="178"/>
      <c r="E193" s="169"/>
      <c r="F193" s="169"/>
      <c r="G193" s="169"/>
      <c r="H193" s="169"/>
      <c r="I193" s="169"/>
      <c r="J193" s="169"/>
      <c r="K193" s="169"/>
      <c r="L193" s="169"/>
      <c r="M193" s="146"/>
      <c r="N193" s="146"/>
      <c r="O193" s="169"/>
      <c r="P193" s="170"/>
      <c r="Q193" s="170"/>
      <c r="R193" s="171"/>
      <c r="S193" s="171"/>
      <c r="T193" s="146"/>
      <c r="U193" s="146"/>
      <c r="V193" s="172"/>
      <c r="W193" s="173"/>
      <c r="X193" s="174"/>
      <c r="Y193" s="169"/>
      <c r="Z193" s="175"/>
      <c r="AA193" s="176"/>
      <c r="AB193" s="177"/>
    </row>
    <row r="194" spans="1:28">
      <c r="A194" s="168"/>
      <c r="B194" s="168"/>
      <c r="C194" s="168"/>
      <c r="D194" s="178"/>
      <c r="E194" s="169"/>
      <c r="F194" s="169"/>
      <c r="G194" s="169"/>
      <c r="H194" s="169"/>
      <c r="I194" s="169"/>
      <c r="J194" s="169"/>
      <c r="K194" s="169"/>
      <c r="L194" s="169"/>
      <c r="M194" s="146"/>
      <c r="N194" s="146"/>
      <c r="O194" s="169"/>
      <c r="P194" s="170"/>
      <c r="Q194" s="170"/>
      <c r="R194" s="171"/>
      <c r="S194" s="171"/>
      <c r="T194" s="146"/>
      <c r="U194" s="146"/>
      <c r="V194" s="172"/>
      <c r="W194" s="173"/>
      <c r="X194" s="174"/>
      <c r="Y194" s="169"/>
      <c r="Z194" s="175"/>
      <c r="AA194" s="176"/>
      <c r="AB194" s="177"/>
    </row>
    <row r="195" spans="1:28">
      <c r="A195" s="168"/>
      <c r="B195" s="168"/>
      <c r="C195" s="168"/>
      <c r="D195" s="178"/>
      <c r="E195" s="169"/>
      <c r="F195" s="169"/>
      <c r="G195" s="169"/>
      <c r="H195" s="169"/>
      <c r="I195" s="169"/>
      <c r="J195" s="169"/>
      <c r="K195" s="169"/>
      <c r="L195" s="169"/>
      <c r="M195" s="146"/>
      <c r="N195" s="146"/>
      <c r="O195" s="169"/>
      <c r="P195" s="170"/>
      <c r="Q195" s="170"/>
      <c r="R195" s="171"/>
      <c r="S195" s="171"/>
      <c r="T195" s="146"/>
      <c r="U195" s="146"/>
      <c r="V195" s="172"/>
      <c r="W195" s="173"/>
      <c r="X195" s="174"/>
      <c r="Y195" s="169"/>
      <c r="Z195" s="175"/>
      <c r="AA195" s="176"/>
      <c r="AB195" s="177"/>
    </row>
    <row r="196" spans="1:28">
      <c r="A196" s="168"/>
      <c r="B196" s="168"/>
      <c r="C196" s="168"/>
      <c r="D196" s="178"/>
      <c r="E196" s="169"/>
      <c r="F196" s="169"/>
      <c r="G196" s="169"/>
      <c r="H196" s="169"/>
      <c r="I196" s="169"/>
      <c r="J196" s="169"/>
      <c r="K196" s="169"/>
      <c r="L196" s="169"/>
      <c r="M196" s="146"/>
      <c r="N196" s="146"/>
      <c r="O196" s="169"/>
      <c r="P196" s="170"/>
      <c r="Q196" s="170"/>
      <c r="R196" s="171"/>
      <c r="S196" s="171"/>
      <c r="T196" s="146"/>
      <c r="U196" s="146"/>
      <c r="V196" s="172"/>
      <c r="W196" s="173"/>
      <c r="X196" s="174"/>
      <c r="Y196" s="169"/>
      <c r="Z196" s="175"/>
      <c r="AA196" s="176"/>
      <c r="AB196" s="177"/>
    </row>
    <row r="197" spans="1:28">
      <c r="A197" s="168"/>
      <c r="B197" s="168"/>
      <c r="C197" s="168"/>
      <c r="D197" s="178"/>
      <c r="E197" s="169"/>
      <c r="F197" s="169"/>
      <c r="G197" s="169"/>
      <c r="H197" s="169"/>
      <c r="I197" s="169"/>
      <c r="J197" s="169"/>
      <c r="K197" s="169"/>
      <c r="L197" s="169"/>
      <c r="M197" s="146"/>
      <c r="N197" s="146"/>
      <c r="O197" s="169"/>
      <c r="P197" s="170"/>
      <c r="Q197" s="170"/>
      <c r="R197" s="171"/>
      <c r="S197" s="171"/>
      <c r="T197" s="146"/>
      <c r="U197" s="146"/>
      <c r="V197" s="172"/>
      <c r="W197" s="173"/>
      <c r="X197" s="174"/>
      <c r="Y197" s="169"/>
      <c r="Z197" s="175"/>
      <c r="AA197" s="176"/>
      <c r="AB197" s="177"/>
    </row>
    <row r="198" spans="1:28">
      <c r="A198" s="168"/>
      <c r="B198" s="168"/>
      <c r="C198" s="168"/>
      <c r="D198" s="178"/>
      <c r="E198" s="169"/>
      <c r="F198" s="169"/>
      <c r="G198" s="169"/>
      <c r="H198" s="169"/>
      <c r="I198" s="169"/>
      <c r="J198" s="169"/>
      <c r="K198" s="169"/>
      <c r="L198" s="169"/>
      <c r="M198" s="146"/>
      <c r="N198" s="146"/>
      <c r="O198" s="169"/>
      <c r="P198" s="170"/>
      <c r="Q198" s="170"/>
      <c r="R198" s="171"/>
      <c r="S198" s="171"/>
      <c r="T198" s="146"/>
      <c r="U198" s="146"/>
      <c r="V198" s="172"/>
      <c r="W198" s="173"/>
      <c r="X198" s="174"/>
      <c r="Y198" s="169"/>
      <c r="Z198" s="175"/>
      <c r="AA198" s="176"/>
      <c r="AB198" s="177"/>
    </row>
    <row r="199" spans="1:28">
      <c r="A199" s="168"/>
      <c r="B199" s="168"/>
      <c r="C199" s="168"/>
      <c r="D199" s="178"/>
      <c r="E199" s="169"/>
      <c r="F199" s="169"/>
      <c r="G199" s="169"/>
      <c r="H199" s="169"/>
      <c r="I199" s="169"/>
      <c r="J199" s="169"/>
      <c r="K199" s="169"/>
      <c r="L199" s="169"/>
      <c r="M199" s="146"/>
      <c r="N199" s="146"/>
      <c r="O199" s="169"/>
      <c r="P199" s="170"/>
      <c r="Q199" s="170"/>
      <c r="R199" s="171"/>
      <c r="S199" s="171"/>
      <c r="T199" s="146"/>
      <c r="U199" s="146"/>
      <c r="V199" s="172"/>
      <c r="W199" s="173"/>
      <c r="X199" s="174"/>
      <c r="Y199" s="169"/>
      <c r="Z199" s="175"/>
      <c r="AA199" s="176"/>
      <c r="AB199" s="177"/>
    </row>
    <row r="200" spans="1:28">
      <c r="A200" s="168"/>
      <c r="B200" s="168"/>
      <c r="C200" s="168"/>
      <c r="D200" s="178"/>
      <c r="E200" s="169"/>
      <c r="F200" s="169"/>
      <c r="G200" s="169"/>
      <c r="H200" s="169"/>
      <c r="I200" s="169"/>
      <c r="J200" s="169"/>
      <c r="K200" s="169"/>
      <c r="L200" s="169"/>
      <c r="M200" s="146"/>
      <c r="N200" s="146"/>
      <c r="O200" s="169"/>
      <c r="P200" s="170"/>
      <c r="Q200" s="170"/>
      <c r="R200" s="171"/>
      <c r="S200" s="171"/>
      <c r="T200" s="146"/>
      <c r="U200" s="146"/>
      <c r="V200" s="172"/>
      <c r="W200" s="173"/>
      <c r="X200" s="174"/>
      <c r="Y200" s="169"/>
      <c r="Z200" s="175"/>
      <c r="AA200" s="176"/>
      <c r="AB200" s="177"/>
    </row>
    <row r="201" spans="1:28">
      <c r="A201" s="168"/>
      <c r="B201" s="168"/>
      <c r="C201" s="168"/>
      <c r="D201" s="178"/>
      <c r="E201" s="169"/>
      <c r="F201" s="169"/>
      <c r="G201" s="169"/>
      <c r="H201" s="169"/>
      <c r="I201" s="169"/>
      <c r="J201" s="169"/>
      <c r="K201" s="169"/>
      <c r="L201" s="169"/>
      <c r="M201" s="146"/>
      <c r="N201" s="146"/>
      <c r="O201" s="169"/>
      <c r="P201" s="170"/>
      <c r="Q201" s="170"/>
      <c r="R201" s="171"/>
      <c r="S201" s="171"/>
      <c r="T201" s="146"/>
      <c r="U201" s="146"/>
      <c r="V201" s="172"/>
      <c r="W201" s="173"/>
      <c r="X201" s="174"/>
      <c r="Y201" s="169"/>
      <c r="Z201" s="175"/>
      <c r="AA201" s="176"/>
      <c r="AB201" s="177"/>
    </row>
    <row r="202" spans="1:28">
      <c r="A202" s="168"/>
      <c r="B202" s="168"/>
      <c r="C202" s="168"/>
      <c r="D202" s="178"/>
      <c r="E202" s="169"/>
      <c r="F202" s="169"/>
      <c r="G202" s="169"/>
      <c r="H202" s="169"/>
      <c r="I202" s="169"/>
      <c r="J202" s="169"/>
      <c r="K202" s="169"/>
      <c r="L202" s="169"/>
      <c r="M202" s="146"/>
      <c r="N202" s="146"/>
      <c r="O202" s="169"/>
      <c r="P202" s="170"/>
      <c r="Q202" s="170"/>
      <c r="R202" s="171"/>
      <c r="S202" s="171"/>
      <c r="T202" s="146"/>
      <c r="U202" s="146"/>
      <c r="V202" s="172"/>
      <c r="W202" s="173"/>
      <c r="X202" s="174"/>
      <c r="Y202" s="169"/>
      <c r="Z202" s="175"/>
      <c r="AA202" s="176"/>
      <c r="AB202" s="177"/>
    </row>
    <row r="203" spans="1:28">
      <c r="A203" s="168"/>
      <c r="B203" s="168"/>
      <c r="C203" s="168"/>
      <c r="D203" s="178"/>
      <c r="E203" s="169"/>
      <c r="F203" s="169"/>
      <c r="G203" s="169"/>
      <c r="H203" s="169"/>
      <c r="I203" s="169"/>
      <c r="J203" s="169"/>
      <c r="K203" s="169"/>
      <c r="L203" s="169"/>
      <c r="M203" s="146"/>
      <c r="N203" s="146"/>
      <c r="O203" s="169"/>
      <c r="P203" s="170"/>
      <c r="Q203" s="170"/>
      <c r="R203" s="171"/>
      <c r="S203" s="171"/>
      <c r="T203" s="146"/>
      <c r="U203" s="146"/>
      <c r="V203" s="172"/>
      <c r="W203" s="173"/>
      <c r="X203" s="174"/>
      <c r="Y203" s="169"/>
      <c r="Z203" s="175"/>
      <c r="AA203" s="176"/>
      <c r="AB203" s="177"/>
    </row>
    <row r="204" spans="1:28">
      <c r="A204" s="168"/>
      <c r="B204" s="168"/>
      <c r="C204" s="168"/>
      <c r="D204" s="178"/>
      <c r="E204" s="169"/>
      <c r="F204" s="169"/>
      <c r="G204" s="169"/>
      <c r="H204" s="169"/>
      <c r="I204" s="169"/>
      <c r="J204" s="169"/>
      <c r="K204" s="169"/>
      <c r="L204" s="169"/>
      <c r="M204" s="146"/>
      <c r="N204" s="146"/>
      <c r="O204" s="169"/>
      <c r="P204" s="170"/>
      <c r="Q204" s="170"/>
      <c r="R204" s="171"/>
      <c r="S204" s="171"/>
      <c r="T204" s="146"/>
      <c r="U204" s="146"/>
      <c r="V204" s="172"/>
      <c r="W204" s="173"/>
      <c r="X204" s="174"/>
      <c r="Y204" s="169"/>
      <c r="Z204" s="175"/>
      <c r="AA204" s="176"/>
      <c r="AB204" s="177"/>
    </row>
    <row r="205" spans="1:28">
      <c r="A205" s="168"/>
      <c r="B205" s="168"/>
      <c r="C205" s="168"/>
      <c r="D205" s="178"/>
      <c r="E205" s="169"/>
      <c r="F205" s="169"/>
      <c r="G205" s="169"/>
      <c r="H205" s="169"/>
      <c r="I205" s="169"/>
      <c r="J205" s="169"/>
      <c r="K205" s="169"/>
      <c r="L205" s="169"/>
      <c r="M205" s="146"/>
      <c r="N205" s="146"/>
      <c r="O205" s="169"/>
      <c r="P205" s="170"/>
      <c r="Q205" s="170"/>
      <c r="R205" s="171"/>
      <c r="S205" s="171"/>
      <c r="T205" s="146"/>
      <c r="U205" s="146"/>
      <c r="V205" s="172"/>
      <c r="W205" s="173"/>
      <c r="X205" s="174"/>
      <c r="Y205" s="169"/>
      <c r="Z205" s="175"/>
      <c r="AA205" s="176"/>
      <c r="AB205" s="177"/>
    </row>
    <row r="206" spans="1:28">
      <c r="A206" s="168"/>
      <c r="B206" s="168"/>
      <c r="C206" s="168"/>
      <c r="D206" s="178"/>
      <c r="E206" s="169"/>
      <c r="F206" s="169"/>
      <c r="G206" s="169"/>
      <c r="H206" s="169"/>
      <c r="I206" s="169"/>
      <c r="J206" s="169"/>
      <c r="K206" s="169"/>
      <c r="L206" s="169"/>
      <c r="M206" s="146"/>
      <c r="N206" s="146"/>
      <c r="O206" s="169"/>
      <c r="P206" s="170"/>
      <c r="Q206" s="170"/>
      <c r="R206" s="171"/>
      <c r="S206" s="171"/>
      <c r="T206" s="146"/>
      <c r="U206" s="146"/>
      <c r="V206" s="172"/>
      <c r="W206" s="173"/>
      <c r="X206" s="174"/>
      <c r="Y206" s="169"/>
      <c r="Z206" s="175"/>
      <c r="AA206" s="176"/>
      <c r="AB206" s="177"/>
    </row>
    <row r="207" spans="1:28">
      <c r="A207" s="168"/>
      <c r="B207" s="168"/>
      <c r="C207" s="168"/>
      <c r="D207" s="178"/>
      <c r="E207" s="169"/>
      <c r="F207" s="169"/>
      <c r="G207" s="169"/>
      <c r="H207" s="169"/>
      <c r="I207" s="169"/>
      <c r="J207" s="169"/>
      <c r="K207" s="169"/>
      <c r="L207" s="169"/>
      <c r="M207" s="146"/>
      <c r="N207" s="146"/>
      <c r="O207" s="169"/>
      <c r="P207" s="170"/>
      <c r="Q207" s="170"/>
      <c r="R207" s="171"/>
      <c r="S207" s="171"/>
      <c r="T207" s="146"/>
      <c r="U207" s="146"/>
      <c r="V207" s="172"/>
      <c r="W207" s="173"/>
      <c r="X207" s="174"/>
      <c r="Y207" s="169"/>
      <c r="Z207" s="175"/>
      <c r="AA207" s="176"/>
      <c r="AB207" s="177"/>
    </row>
    <row r="208" spans="1:28">
      <c r="A208" s="168"/>
      <c r="B208" s="168"/>
      <c r="C208" s="168"/>
      <c r="D208" s="178"/>
      <c r="E208" s="169"/>
      <c r="F208" s="169"/>
      <c r="G208" s="169"/>
      <c r="H208" s="169"/>
      <c r="I208" s="169"/>
      <c r="J208" s="169"/>
      <c r="K208" s="169"/>
      <c r="L208" s="169"/>
      <c r="M208" s="146"/>
      <c r="N208" s="146"/>
      <c r="O208" s="169"/>
      <c r="P208" s="170"/>
      <c r="Q208" s="170"/>
      <c r="R208" s="171"/>
      <c r="S208" s="171"/>
      <c r="T208" s="146"/>
      <c r="U208" s="146"/>
      <c r="V208" s="172"/>
      <c r="W208" s="173"/>
      <c r="X208" s="174"/>
      <c r="Y208" s="169"/>
      <c r="Z208" s="175"/>
      <c r="AA208" s="176"/>
      <c r="AB208" s="177"/>
    </row>
    <row r="209" spans="1:28">
      <c r="A209" s="168"/>
      <c r="B209" s="168"/>
      <c r="C209" s="168"/>
      <c r="D209" s="178"/>
      <c r="E209" s="169"/>
      <c r="F209" s="169"/>
      <c r="G209" s="169"/>
      <c r="H209" s="169"/>
      <c r="I209" s="169"/>
      <c r="J209" s="169"/>
      <c r="K209" s="169"/>
      <c r="L209" s="169"/>
      <c r="M209" s="146"/>
      <c r="N209" s="146"/>
      <c r="O209" s="169"/>
      <c r="P209" s="170"/>
      <c r="Q209" s="170"/>
      <c r="R209" s="171"/>
      <c r="S209" s="171"/>
      <c r="T209" s="146"/>
      <c r="U209" s="146"/>
      <c r="V209" s="172"/>
      <c r="W209" s="173"/>
      <c r="X209" s="174"/>
      <c r="Y209" s="169"/>
      <c r="Z209" s="175"/>
      <c r="AA209" s="176"/>
      <c r="AB209" s="177"/>
    </row>
    <row r="210" spans="1:28">
      <c r="A210" s="168"/>
      <c r="B210" s="168"/>
      <c r="C210" s="168"/>
      <c r="D210" s="178"/>
      <c r="E210" s="169"/>
      <c r="F210" s="169"/>
      <c r="G210" s="169"/>
      <c r="H210" s="169"/>
      <c r="I210" s="169"/>
      <c r="J210" s="169"/>
      <c r="K210" s="169"/>
      <c r="L210" s="169"/>
      <c r="M210" s="146"/>
      <c r="N210" s="146"/>
      <c r="O210" s="169"/>
      <c r="P210" s="170"/>
      <c r="Q210" s="170"/>
      <c r="R210" s="171"/>
      <c r="S210" s="171"/>
      <c r="T210" s="146"/>
      <c r="U210" s="146"/>
      <c r="V210" s="172"/>
      <c r="W210" s="173"/>
      <c r="X210" s="174"/>
      <c r="Y210" s="169"/>
      <c r="Z210" s="175"/>
      <c r="AA210" s="176"/>
      <c r="AB210" s="177"/>
    </row>
    <row r="211" spans="1:28">
      <c r="A211" s="168"/>
      <c r="B211" s="168"/>
      <c r="C211" s="168"/>
      <c r="D211" s="178"/>
      <c r="E211" s="169"/>
      <c r="F211" s="169"/>
      <c r="G211" s="169"/>
      <c r="H211" s="169"/>
      <c r="I211" s="169"/>
      <c r="J211" s="169"/>
      <c r="K211" s="169"/>
      <c r="L211" s="169"/>
      <c r="M211" s="146"/>
      <c r="N211" s="146"/>
      <c r="O211" s="169"/>
      <c r="P211" s="170"/>
      <c r="Q211" s="170"/>
      <c r="R211" s="171"/>
      <c r="S211" s="171"/>
      <c r="T211" s="146"/>
      <c r="U211" s="146"/>
      <c r="V211" s="172"/>
      <c r="W211" s="173"/>
      <c r="X211" s="174"/>
      <c r="Y211" s="169"/>
      <c r="Z211" s="175"/>
      <c r="AA211" s="176"/>
      <c r="AB211" s="177"/>
    </row>
    <row r="212" spans="1:28">
      <c r="A212" s="156"/>
      <c r="B212" s="156"/>
      <c r="C212" s="156"/>
      <c r="D212" s="157"/>
      <c r="E212" s="158"/>
      <c r="F212" s="158"/>
      <c r="G212" s="158"/>
      <c r="H212" s="158"/>
      <c r="I212" s="158"/>
      <c r="J212" s="158"/>
      <c r="K212" s="158"/>
      <c r="L212" s="158"/>
      <c r="M212" s="159"/>
      <c r="N212" s="159"/>
      <c r="O212" s="158"/>
      <c r="P212" s="160"/>
      <c r="Q212" s="160"/>
      <c r="R212" s="161"/>
      <c r="S212" s="161"/>
      <c r="T212" s="159"/>
      <c r="U212" s="159"/>
      <c r="V212" s="162"/>
      <c r="W212" s="163"/>
      <c r="X212" s="164"/>
      <c r="Y212" s="158"/>
      <c r="Z212" s="165"/>
      <c r="AA212" s="166"/>
      <c r="AB212" s="167"/>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2">
    <mergeCell ref="BM3:BS3"/>
    <mergeCell ref="BT3:BZ3"/>
    <mergeCell ref="AD3:AJ3"/>
    <mergeCell ref="AK3:AQ3"/>
    <mergeCell ref="AR3:AX3"/>
    <mergeCell ref="AY3:BE3"/>
    <mergeCell ref="BF3:BL3"/>
    <mergeCell ref="FG3:FM3"/>
    <mergeCell ref="FN3:FT3"/>
    <mergeCell ref="FU3:GA3"/>
    <mergeCell ref="GB3:GH3"/>
    <mergeCell ref="CA3:CG3"/>
    <mergeCell ref="V3:V4"/>
    <mergeCell ref="X3:X4"/>
    <mergeCell ref="Z3:Z4"/>
    <mergeCell ref="L3:L4"/>
    <mergeCell ref="M3:M4"/>
    <mergeCell ref="N3:N4"/>
    <mergeCell ref="R3:R4"/>
    <mergeCell ref="U3:U4"/>
    <mergeCell ref="AD1:CB1"/>
    <mergeCell ref="A3:A4"/>
    <mergeCell ref="B3:B4"/>
    <mergeCell ref="C3:C4"/>
    <mergeCell ref="D3:D4"/>
    <mergeCell ref="E3:K4"/>
    <mergeCell ref="AA3:AA4"/>
    <mergeCell ref="Y3:Y4"/>
    <mergeCell ref="AB3:AB4"/>
    <mergeCell ref="D2:F2"/>
    <mergeCell ref="W3:W4"/>
    <mergeCell ref="O3:O4"/>
    <mergeCell ref="P3:P4"/>
    <mergeCell ref="Q3:Q4"/>
    <mergeCell ref="S3:S4"/>
    <mergeCell ref="T3:T4"/>
    <mergeCell ref="GW3:HC3"/>
    <mergeCell ref="HD3:HJ3"/>
    <mergeCell ref="HK3:HQ3"/>
    <mergeCell ref="EZ3:FF3"/>
    <mergeCell ref="CH3:CN3"/>
    <mergeCell ref="DX3:ED3"/>
    <mergeCell ref="EE3:EK3"/>
    <mergeCell ref="EL3:ER3"/>
    <mergeCell ref="ES3:EY3"/>
    <mergeCell ref="CO3:CU3"/>
    <mergeCell ref="CV3:DB3"/>
    <mergeCell ref="DC3:DI3"/>
    <mergeCell ref="DJ3:DP3"/>
    <mergeCell ref="DQ3:DW3"/>
    <mergeCell ref="GI3:GO3"/>
    <mergeCell ref="GP3:GV3"/>
  </mergeCells>
  <phoneticPr fontId="1" type="noConversion"/>
  <conditionalFormatting sqref="AD5:HQ30 AD33:HQ83">
    <cfRule type="expression" dxfId="25" priority="56">
      <formula>AD$4=TODAY()</formula>
    </cfRule>
    <cfRule type="expression" dxfId="24" priority="57">
      <formula>AND(AD$4&gt;= $M5,AD$4&lt;=$N5, $B5="G")</formula>
    </cfRule>
    <cfRule type="expression" dxfId="23" priority="58" stopIfTrue="1">
      <formula>AND(AD$4&gt;= $M5,AD$4&lt;=$N5)</formula>
    </cfRule>
    <cfRule type="expression" dxfId="22" priority="59" stopIfTrue="1">
      <formula>COUNTIF(STD_CAL,AD$4)&gt;0</formula>
    </cfRule>
  </conditionalFormatting>
  <conditionalFormatting sqref="D52:L56 D81:L83 O81:AC83 D5:AC29 D30:L30 O30:AC30 D41:L41 O41:X41 Z41:AC41 O52:AC56 D66:AC80 D33:AC39 D40:O40 Q40:AC40 D45:AC51 X5:X79">
    <cfRule type="expression" dxfId="21" priority="34">
      <formula>($B5="G")</formula>
    </cfRule>
  </conditionalFormatting>
  <conditionalFormatting sqref="D57:L65 O63:P65 R63:AB65 O57:AC60 O61:AB62">
    <cfRule type="expression" dxfId="20" priority="24">
      <formula>($B57="G")</formula>
    </cfRule>
  </conditionalFormatting>
  <conditionalFormatting sqref="AD32:HQ32">
    <cfRule type="expression" dxfId="19" priority="20">
      <formula>AD$4=TODAY()</formula>
    </cfRule>
    <cfRule type="expression" dxfId="18" priority="21">
      <formula>AND(AD$4&gt;= $M32,AD$4&lt;=$N32, $B32="G")</formula>
    </cfRule>
    <cfRule type="expression" dxfId="17" priority="22" stopIfTrue="1">
      <formula>AND(AD$4&gt;= $M32,AD$4&lt;=$N32)</formula>
    </cfRule>
    <cfRule type="expression" dxfId="16" priority="23" stopIfTrue="1">
      <formula>COUNTIF(STD_CAL,AD$4)&gt;0</formula>
    </cfRule>
  </conditionalFormatting>
  <conditionalFormatting sqref="D32:AC32">
    <cfRule type="expression" dxfId="15" priority="19">
      <formula>($B32="G")</formula>
    </cfRule>
  </conditionalFormatting>
  <conditionalFormatting sqref="M52:N65">
    <cfRule type="expression" dxfId="14" priority="17">
      <formula>($B52="G")</formula>
    </cfRule>
  </conditionalFormatting>
  <conditionalFormatting sqref="M81:N84">
    <cfRule type="expression" dxfId="13" priority="16">
      <formula>($B81="G")</formula>
    </cfRule>
  </conditionalFormatting>
  <conditionalFormatting sqref="AD31:HQ31">
    <cfRule type="expression" dxfId="12" priority="12">
      <formula>AD$4=TODAY()</formula>
    </cfRule>
    <cfRule type="expression" dxfId="11" priority="13">
      <formula>AND(AD$4&gt;= $M31,AD$4&lt;=$N31, $B31="G")</formula>
    </cfRule>
    <cfRule type="expression" dxfId="10" priority="14" stopIfTrue="1">
      <formula>AND(AD$4&gt;= $M31,AD$4&lt;=$N31)</formula>
    </cfRule>
    <cfRule type="expression" dxfId="9" priority="15" stopIfTrue="1">
      <formula>COUNTIF(STD_CAL,AD$4)&gt;0</formula>
    </cfRule>
  </conditionalFormatting>
  <conditionalFormatting sqref="D31:L31 O31:AC31">
    <cfRule type="expression" dxfId="8" priority="11">
      <formula>($B31="G")</formula>
    </cfRule>
  </conditionalFormatting>
  <conditionalFormatting sqref="M30:N31">
    <cfRule type="expression" dxfId="7" priority="10">
      <formula>($B30="G")</formula>
    </cfRule>
  </conditionalFormatting>
  <conditionalFormatting sqref="D42:L44 O42:X44 Z42:AC44">
    <cfRule type="expression" dxfId="6" priority="5">
      <formula>($B42="G")</formula>
    </cfRule>
  </conditionalFormatting>
  <conditionalFormatting sqref="M41:N44">
    <cfRule type="expression" dxfId="5" priority="4">
      <formula>($B41="G")</formula>
    </cfRule>
  </conditionalFormatting>
  <conditionalFormatting sqref="Y41:Y44">
    <cfRule type="expression" dxfId="4" priority="3">
      <formula>($B41="G")</formula>
    </cfRule>
  </conditionalFormatting>
  <conditionalFormatting sqref="P41">
    <cfRule type="expression" dxfId="3" priority="69">
      <formula>($B40="G")</formula>
    </cfRule>
  </conditionalFormatting>
  <conditionalFormatting sqref="Q63:Q65">
    <cfRule type="expression" dxfId="2" priority="2">
      <formula>($B63="G")</formula>
    </cfRule>
  </conditionalFormatting>
  <conditionalFormatting sqref="AC61:AC65">
    <cfRule type="expression" dxfId="1" priority="1">
      <formula>($B61="G")</formula>
    </cfRule>
  </conditionalFormatting>
  <hyperlinks>
    <hyperlink ref="AD1:CB1" r:id="rId7" display="http://xlworks.net/" xr:uid="{00000000-0004-0000-0000-000000000000}"/>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G28" sqref="G27:G28"/>
    </sheetView>
  </sheetViews>
  <sheetFormatPr defaultColWidth="8.8984375" defaultRowHeight="14.4"/>
  <cols>
    <col min="1" max="1" width="31.3984375" style="103" customWidth="1"/>
    <col min="2" max="2" width="10.3984375" style="101" bestFit="1" customWidth="1"/>
    <col min="3" max="3" width="8.796875" style="104" customWidth="1"/>
    <col min="4" max="4" width="27.8984375" style="104" customWidth="1"/>
    <col min="5" max="6" width="12.59765625" style="104" customWidth="1"/>
    <col min="7" max="7" width="25.19921875" style="104" customWidth="1"/>
    <col min="8" max="9" width="8.8984375" style="104"/>
    <col min="10" max="10" width="7.8984375" style="104" bestFit="1" customWidth="1"/>
    <col min="11" max="19" width="8.8984375" style="104"/>
    <col min="20" max="22" width="8.8984375" style="104" customWidth="1"/>
    <col min="23" max="23" width="8.8984375" style="104" hidden="1" customWidth="1"/>
    <col min="24" max="16384" width="8.8984375" style="104"/>
  </cols>
  <sheetData>
    <row r="1" spans="1:17" s="107" customFormat="1" ht="36.9" customHeight="1">
      <c r="A1" s="135" t="s">
        <v>1149</v>
      </c>
      <c r="B1" s="136"/>
      <c r="C1" s="136"/>
      <c r="D1" s="136"/>
      <c r="E1" s="136"/>
      <c r="F1" s="136"/>
      <c r="G1" s="136"/>
      <c r="H1" s="136"/>
      <c r="I1" s="136"/>
      <c r="J1" s="136"/>
      <c r="K1" s="136"/>
      <c r="L1" s="247"/>
      <c r="M1" s="248"/>
      <c r="N1" s="248"/>
      <c r="O1" s="106"/>
      <c r="P1" s="106"/>
      <c r="Q1" s="106"/>
    </row>
    <row r="2" spans="1:17" s="60" customFormat="1" ht="13.8">
      <c r="A2" s="144" t="s">
        <v>1090</v>
      </c>
      <c r="B2" s="59"/>
    </row>
    <row r="3" spans="1:17" s="60" customFormat="1" ht="13.8">
      <c r="A3" s="144" t="s">
        <v>1091</v>
      </c>
      <c r="B3" s="59"/>
    </row>
    <row r="4" spans="1:17" s="60" customFormat="1" ht="13.8">
      <c r="A4" s="249"/>
      <c r="B4" s="249"/>
      <c r="C4" s="61"/>
      <c r="D4" s="62"/>
      <c r="E4" s="62"/>
      <c r="F4" s="62"/>
    </row>
    <row r="5" spans="1:17" s="66" customFormat="1" ht="13.8">
      <c r="A5" s="63"/>
      <c r="B5" s="64"/>
      <c r="C5" s="65"/>
      <c r="D5" s="112"/>
      <c r="E5" s="113"/>
      <c r="F5" s="113"/>
      <c r="G5" s="113"/>
    </row>
    <row r="6" spans="1:17" s="66" customFormat="1" ht="13.8">
      <c r="A6" s="67" t="s">
        <v>1092</v>
      </c>
      <c r="B6" s="68">
        <v>297</v>
      </c>
      <c r="C6" s="66" t="s">
        <v>187</v>
      </c>
      <c r="D6" s="246" t="s">
        <v>1093</v>
      </c>
      <c r="E6" s="246"/>
      <c r="F6" s="246"/>
      <c r="G6" s="246"/>
    </row>
    <row r="7" spans="1:17" s="66" customFormat="1" ht="13.8">
      <c r="A7" s="69"/>
      <c r="B7" s="70"/>
      <c r="C7" s="71"/>
      <c r="D7" s="114"/>
      <c r="E7" s="114"/>
      <c r="F7" s="114"/>
      <c r="G7" s="114"/>
    </row>
    <row r="8" spans="1:17" s="66" customFormat="1" ht="12.75" customHeight="1">
      <c r="A8" s="72"/>
      <c r="B8" s="73"/>
      <c r="D8" s="115"/>
      <c r="E8" s="115"/>
      <c r="F8" s="115"/>
      <c r="G8" s="115"/>
      <c r="J8" s="74"/>
    </row>
    <row r="9" spans="1:17" s="66" customFormat="1" ht="13.8">
      <c r="A9" s="67" t="s">
        <v>1094</v>
      </c>
      <c r="B9" s="68">
        <v>53</v>
      </c>
      <c r="C9" s="66" t="s">
        <v>187</v>
      </c>
      <c r="D9" s="245" t="s">
        <v>1095</v>
      </c>
      <c r="E9" s="245"/>
      <c r="F9" s="245"/>
      <c r="G9" s="245"/>
    </row>
    <row r="10" spans="1:17" s="66" customFormat="1" ht="13.8">
      <c r="A10" s="75"/>
      <c r="B10" s="70"/>
      <c r="C10" s="71"/>
      <c r="D10" s="116"/>
      <c r="E10" s="116"/>
      <c r="F10" s="116"/>
      <c r="G10" s="116"/>
    </row>
    <row r="11" spans="1:17" s="66" customFormat="1" ht="13.5" customHeight="1">
      <c r="A11" s="76"/>
      <c r="B11" s="73"/>
      <c r="D11" s="115"/>
      <c r="E11" s="115"/>
      <c r="F11" s="115"/>
      <c r="G11" s="115"/>
    </row>
    <row r="12" spans="1:17" s="66" customFormat="1" ht="12.75" customHeight="1">
      <c r="A12" s="77" t="s">
        <v>1162</v>
      </c>
      <c r="B12" s="68">
        <v>34.299999999999997</v>
      </c>
      <c r="C12" s="66" t="s">
        <v>187</v>
      </c>
      <c r="D12" s="245" t="s">
        <v>1163</v>
      </c>
      <c r="E12" s="245"/>
      <c r="F12" s="245"/>
      <c r="G12" s="245"/>
    </row>
    <row r="13" spans="1:17" s="80" customFormat="1" ht="13.8">
      <c r="A13" s="78"/>
      <c r="B13" s="70"/>
      <c r="C13" s="79"/>
      <c r="D13" s="116"/>
      <c r="E13" s="116"/>
      <c r="F13" s="116"/>
      <c r="G13" s="116"/>
      <c r="K13" s="81"/>
    </row>
    <row r="14" spans="1:17" s="80" customFormat="1" ht="14.25" customHeight="1">
      <c r="A14" s="76"/>
      <c r="B14" s="82"/>
      <c r="C14" s="83"/>
      <c r="D14" s="115"/>
      <c r="E14" s="115"/>
      <c r="F14" s="115"/>
      <c r="G14" s="115"/>
    </row>
    <row r="15" spans="1:17" s="66" customFormat="1" ht="12.75" customHeight="1">
      <c r="A15" s="77" t="s">
        <v>1096</v>
      </c>
      <c r="B15" s="68"/>
      <c r="C15" s="66" t="s">
        <v>187</v>
      </c>
      <c r="D15" s="245" t="s">
        <v>1097</v>
      </c>
      <c r="E15" s="245"/>
      <c r="F15" s="245"/>
      <c r="G15" s="245"/>
    </row>
    <row r="16" spans="1:17" s="66" customFormat="1" ht="13.8">
      <c r="A16" s="78"/>
      <c r="B16" s="84"/>
      <c r="C16" s="85"/>
      <c r="D16" s="116"/>
      <c r="E16" s="116"/>
      <c r="F16" s="116"/>
      <c r="G16" s="116"/>
    </row>
    <row r="17" spans="1:7" s="80" customFormat="1" ht="12.75" customHeight="1">
      <c r="A17" s="86"/>
      <c r="B17" s="82"/>
      <c r="C17" s="83"/>
      <c r="D17" s="115"/>
      <c r="E17" s="115"/>
      <c r="F17" s="115"/>
      <c r="G17" s="115"/>
    </row>
    <row r="18" spans="1:7" s="66" customFormat="1" ht="13.8">
      <c r="A18" s="67" t="s">
        <v>1098</v>
      </c>
      <c r="B18" s="87">
        <v>0.17845117845117844</v>
      </c>
      <c r="D18" s="245" t="s">
        <v>1099</v>
      </c>
      <c r="E18" s="245"/>
      <c r="F18" s="245"/>
      <c r="G18" s="245"/>
    </row>
    <row r="19" spans="1:7" s="66" customFormat="1" ht="13.8">
      <c r="A19" s="88"/>
      <c r="B19" s="84"/>
      <c r="C19" s="85"/>
      <c r="D19" s="116"/>
      <c r="E19" s="116"/>
      <c r="F19" s="116"/>
      <c r="G19" s="116"/>
    </row>
    <row r="20" spans="1:7" s="66" customFormat="1" ht="12.75" customHeight="1">
      <c r="A20" s="89"/>
      <c r="B20" s="64"/>
      <c r="C20" s="65"/>
      <c r="D20" s="115"/>
      <c r="E20" s="115"/>
      <c r="F20" s="115"/>
      <c r="G20" s="115"/>
    </row>
    <row r="21" spans="1:7" s="66" customFormat="1" ht="13.8">
      <c r="A21" s="67" t="s">
        <v>1100</v>
      </c>
      <c r="B21" s="87">
        <v>0.11548821548821547</v>
      </c>
      <c r="D21" s="245" t="s">
        <v>1101</v>
      </c>
      <c r="E21" s="245"/>
      <c r="F21" s="245"/>
      <c r="G21" s="245"/>
    </row>
    <row r="22" spans="1:7" s="66" customFormat="1" ht="13.8">
      <c r="A22" s="90"/>
      <c r="B22" s="91"/>
      <c r="C22" s="92"/>
      <c r="D22" s="116"/>
      <c r="E22" s="116"/>
      <c r="F22" s="116"/>
      <c r="G22" s="116"/>
    </row>
    <row r="23" spans="1:7" s="66" customFormat="1" ht="13.5" customHeight="1">
      <c r="A23" s="93"/>
      <c r="B23" s="94"/>
      <c r="C23" s="95"/>
      <c r="D23" s="117"/>
      <c r="E23" s="117"/>
      <c r="F23" s="117"/>
      <c r="G23" s="117"/>
    </row>
    <row r="24" spans="1:7" s="66" customFormat="1" ht="13.8">
      <c r="A24" s="67" t="s">
        <v>1102</v>
      </c>
      <c r="B24" s="96">
        <f>ACTUAL_RATE-PLANNED_RATE</f>
        <v>-6.2962962962962971E-2</v>
      </c>
      <c r="D24" s="246" t="s">
        <v>1103</v>
      </c>
      <c r="E24" s="246"/>
      <c r="F24" s="246"/>
      <c r="G24" s="246"/>
    </row>
    <row r="25" spans="1:7" s="66" customFormat="1" ht="13.8">
      <c r="A25" s="97"/>
      <c r="B25" s="98"/>
      <c r="C25" s="99"/>
      <c r="D25" s="118"/>
      <c r="E25" s="118"/>
      <c r="F25" s="118"/>
      <c r="G25" s="118"/>
    </row>
    <row r="26" spans="1:7" s="102" customFormat="1">
      <c r="A26" s="100"/>
      <c r="B26" s="101"/>
    </row>
    <row r="27" spans="1:7">
      <c r="B27" s="111"/>
      <c r="G27" s="103"/>
    </row>
    <row r="28" spans="1:7">
      <c r="B28" s="105"/>
    </row>
    <row r="29" spans="1:7">
      <c r="B29" s="105"/>
    </row>
    <row r="30" spans="1:7">
      <c r="B30" s="119"/>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30"/>
  <sheetViews>
    <sheetView showGridLines="0" zoomScale="90" zoomScaleNormal="90" workbookViewId="0">
      <pane ySplit="1" topLeftCell="A2" activePane="bottomLeft" state="frozen"/>
      <selection pane="bottomLeft"/>
    </sheetView>
  </sheetViews>
  <sheetFormatPr defaultColWidth="8.8984375" defaultRowHeight="14.4"/>
  <cols>
    <col min="1" max="1" width="1.796875" style="207" customWidth="1"/>
    <col min="2" max="4" width="8.8984375" style="207"/>
    <col min="5" max="5" width="10.796875" style="207" customWidth="1"/>
    <col min="6" max="16384" width="8.8984375" style="207"/>
  </cols>
  <sheetData>
    <row r="1" spans="2:6" ht="36.9" customHeight="1">
      <c r="B1" s="134" t="s">
        <v>1120</v>
      </c>
    </row>
    <row r="2" spans="2:6">
      <c r="B2" s="207" t="s">
        <v>1121</v>
      </c>
    </row>
    <row r="3" spans="2:6">
      <c r="B3" s="207" t="s">
        <v>1122</v>
      </c>
    </row>
    <row r="6" spans="2:6" ht="28.8">
      <c r="B6" s="133" t="s">
        <v>421</v>
      </c>
      <c r="C6" s="154" t="s">
        <v>369</v>
      </c>
      <c r="D6" s="154" t="s">
        <v>139</v>
      </c>
      <c r="E6" s="154" t="s">
        <v>1123</v>
      </c>
      <c r="F6" s="206" t="s">
        <v>407</v>
      </c>
    </row>
    <row r="7" spans="2:6">
      <c r="B7" s="200">
        <v>42825</v>
      </c>
      <c r="C7" s="200">
        <v>42826</v>
      </c>
      <c r="D7" s="201">
        <v>1</v>
      </c>
      <c r="E7" s="201">
        <f>D7</f>
        <v>1</v>
      </c>
      <c r="F7" s="208">
        <f t="shared" ref="F7:F29" si="0">E7/$D$30</f>
        <v>3.3670033670033669E-3</v>
      </c>
    </row>
    <row r="8" spans="2:6">
      <c r="B8" s="202">
        <v>42827</v>
      </c>
      <c r="C8" s="202">
        <v>42833</v>
      </c>
      <c r="D8" s="203">
        <v>7.9999999999999991</v>
      </c>
      <c r="E8" s="203">
        <f>E7+D8</f>
        <v>9</v>
      </c>
      <c r="F8" s="209">
        <f t="shared" si="0"/>
        <v>3.0303030303030304E-2</v>
      </c>
    </row>
    <row r="9" spans="2:6">
      <c r="B9" s="202">
        <v>42834</v>
      </c>
      <c r="C9" s="202">
        <v>42840</v>
      </c>
      <c r="D9" s="203">
        <v>16</v>
      </c>
      <c r="E9" s="203">
        <f t="shared" ref="E9:E29" si="1">E8+D9</f>
        <v>25</v>
      </c>
      <c r="F9" s="209">
        <f t="shared" si="0"/>
        <v>8.4175084175084181E-2</v>
      </c>
    </row>
    <row r="10" spans="2:6">
      <c r="B10" s="202">
        <v>42841</v>
      </c>
      <c r="C10" s="202">
        <v>42847</v>
      </c>
      <c r="D10" s="203">
        <v>15</v>
      </c>
      <c r="E10" s="203">
        <f t="shared" si="1"/>
        <v>40</v>
      </c>
      <c r="F10" s="209">
        <f t="shared" si="0"/>
        <v>0.13468013468013468</v>
      </c>
    </row>
    <row r="11" spans="2:6">
      <c r="B11" s="202">
        <v>42848</v>
      </c>
      <c r="C11" s="202">
        <v>42854</v>
      </c>
      <c r="D11" s="203">
        <v>9</v>
      </c>
      <c r="E11" s="203">
        <f t="shared" si="1"/>
        <v>49</v>
      </c>
      <c r="F11" s="209">
        <f t="shared" si="0"/>
        <v>0.16498316498316498</v>
      </c>
    </row>
    <row r="12" spans="2:6">
      <c r="B12" s="202">
        <v>42855</v>
      </c>
      <c r="C12" s="202">
        <v>42861</v>
      </c>
      <c r="D12" s="203">
        <v>6</v>
      </c>
      <c r="E12" s="203">
        <f t="shared" si="1"/>
        <v>55</v>
      </c>
      <c r="F12" s="209">
        <f t="shared" si="0"/>
        <v>0.18518518518518517</v>
      </c>
    </row>
    <row r="13" spans="2:6">
      <c r="B13" s="202">
        <v>42862</v>
      </c>
      <c r="C13" s="202">
        <v>42868</v>
      </c>
      <c r="D13" s="203">
        <v>16</v>
      </c>
      <c r="E13" s="203">
        <f t="shared" si="1"/>
        <v>71</v>
      </c>
      <c r="F13" s="209">
        <f t="shared" si="0"/>
        <v>0.23905723905723905</v>
      </c>
    </row>
    <row r="14" spans="2:6">
      <c r="B14" s="202">
        <v>42869</v>
      </c>
      <c r="C14" s="202">
        <v>42875</v>
      </c>
      <c r="D14" s="203">
        <v>10</v>
      </c>
      <c r="E14" s="203">
        <f t="shared" si="1"/>
        <v>81</v>
      </c>
      <c r="F14" s="209">
        <f t="shared" si="0"/>
        <v>0.27272727272727271</v>
      </c>
    </row>
    <row r="15" spans="2:6">
      <c r="B15" s="202">
        <v>42876</v>
      </c>
      <c r="C15" s="202">
        <v>42882</v>
      </c>
      <c r="D15" s="203">
        <v>5</v>
      </c>
      <c r="E15" s="203">
        <f t="shared" si="1"/>
        <v>86</v>
      </c>
      <c r="F15" s="209">
        <f t="shared" si="0"/>
        <v>0.28956228956228958</v>
      </c>
    </row>
    <row r="16" spans="2:6">
      <c r="B16" s="202">
        <v>42883</v>
      </c>
      <c r="C16" s="202">
        <v>42889</v>
      </c>
      <c r="D16" s="203">
        <v>25</v>
      </c>
      <c r="E16" s="203">
        <f t="shared" si="1"/>
        <v>111</v>
      </c>
      <c r="F16" s="209">
        <f t="shared" si="0"/>
        <v>0.37373737373737376</v>
      </c>
    </row>
    <row r="17" spans="2:6">
      <c r="B17" s="202">
        <v>42890</v>
      </c>
      <c r="C17" s="202">
        <v>42896</v>
      </c>
      <c r="D17" s="203">
        <v>16</v>
      </c>
      <c r="E17" s="203">
        <f t="shared" si="1"/>
        <v>127</v>
      </c>
      <c r="F17" s="209">
        <f t="shared" si="0"/>
        <v>0.42760942760942761</v>
      </c>
    </row>
    <row r="18" spans="2:6">
      <c r="B18" s="202">
        <v>42897</v>
      </c>
      <c r="C18" s="202">
        <v>42903</v>
      </c>
      <c r="D18" s="203">
        <v>20</v>
      </c>
      <c r="E18" s="203">
        <f t="shared" si="1"/>
        <v>147</v>
      </c>
      <c r="F18" s="209">
        <f t="shared" si="0"/>
        <v>0.49494949494949497</v>
      </c>
    </row>
    <row r="19" spans="2:6">
      <c r="B19" s="202">
        <v>42904</v>
      </c>
      <c r="C19" s="202">
        <v>42910</v>
      </c>
      <c r="D19" s="203">
        <v>15</v>
      </c>
      <c r="E19" s="203">
        <f t="shared" si="1"/>
        <v>162</v>
      </c>
      <c r="F19" s="209">
        <f t="shared" si="0"/>
        <v>0.54545454545454541</v>
      </c>
    </row>
    <row r="20" spans="2:6">
      <c r="B20" s="202">
        <v>42911</v>
      </c>
      <c r="C20" s="202">
        <v>42917</v>
      </c>
      <c r="D20" s="203">
        <v>15</v>
      </c>
      <c r="E20" s="203">
        <f t="shared" si="1"/>
        <v>177</v>
      </c>
      <c r="F20" s="209">
        <f t="shared" si="0"/>
        <v>0.59595959595959591</v>
      </c>
    </row>
    <row r="21" spans="2:6">
      <c r="B21" s="202">
        <v>42918</v>
      </c>
      <c r="C21" s="202">
        <v>42924</v>
      </c>
      <c r="D21" s="203">
        <v>20</v>
      </c>
      <c r="E21" s="203">
        <f t="shared" si="1"/>
        <v>197</v>
      </c>
      <c r="F21" s="209">
        <f t="shared" si="0"/>
        <v>0.66329966329966328</v>
      </c>
    </row>
    <row r="22" spans="2:6">
      <c r="B22" s="202">
        <v>42925</v>
      </c>
      <c r="C22" s="202">
        <v>42931</v>
      </c>
      <c r="D22" s="203">
        <v>25</v>
      </c>
      <c r="E22" s="203">
        <f t="shared" si="1"/>
        <v>222</v>
      </c>
      <c r="F22" s="209">
        <f t="shared" si="0"/>
        <v>0.74747474747474751</v>
      </c>
    </row>
    <row r="23" spans="2:6">
      <c r="B23" s="202">
        <v>42932</v>
      </c>
      <c r="C23" s="202">
        <v>42938</v>
      </c>
      <c r="D23" s="203">
        <v>25</v>
      </c>
      <c r="E23" s="203">
        <f t="shared" si="1"/>
        <v>247</v>
      </c>
      <c r="F23" s="209">
        <f t="shared" si="0"/>
        <v>0.83164983164983164</v>
      </c>
    </row>
    <row r="24" spans="2:6">
      <c r="B24" s="202">
        <v>42939</v>
      </c>
      <c r="C24" s="202">
        <v>42945</v>
      </c>
      <c r="D24" s="203">
        <v>21</v>
      </c>
      <c r="E24" s="203">
        <f t="shared" si="1"/>
        <v>268</v>
      </c>
      <c r="F24" s="209">
        <f t="shared" si="0"/>
        <v>0.90235690235690236</v>
      </c>
    </row>
    <row r="25" spans="2:6">
      <c r="B25" s="202">
        <v>42946</v>
      </c>
      <c r="C25" s="202">
        <v>42952</v>
      </c>
      <c r="D25" s="203">
        <v>12</v>
      </c>
      <c r="E25" s="203">
        <f t="shared" si="1"/>
        <v>280</v>
      </c>
      <c r="F25" s="209">
        <f t="shared" si="0"/>
        <v>0.9427609427609428</v>
      </c>
    </row>
    <row r="26" spans="2:6">
      <c r="B26" s="202">
        <v>42953</v>
      </c>
      <c r="C26" s="202">
        <v>42959</v>
      </c>
      <c r="D26" s="203">
        <v>4</v>
      </c>
      <c r="E26" s="203">
        <f t="shared" si="1"/>
        <v>284</v>
      </c>
      <c r="F26" s="209">
        <f t="shared" si="0"/>
        <v>0.95622895622895621</v>
      </c>
    </row>
    <row r="27" spans="2:6">
      <c r="B27" s="202">
        <v>42960</v>
      </c>
      <c r="C27" s="202">
        <v>42966</v>
      </c>
      <c r="D27" s="203">
        <v>4</v>
      </c>
      <c r="E27" s="203">
        <f t="shared" si="1"/>
        <v>288</v>
      </c>
      <c r="F27" s="209">
        <f t="shared" si="0"/>
        <v>0.96969696969696972</v>
      </c>
    </row>
    <row r="28" spans="2:6">
      <c r="B28" s="202">
        <v>42967</v>
      </c>
      <c r="C28" s="202">
        <v>42973</v>
      </c>
      <c r="D28" s="203">
        <v>5</v>
      </c>
      <c r="E28" s="203">
        <f t="shared" si="1"/>
        <v>293</v>
      </c>
      <c r="F28" s="209">
        <f t="shared" si="0"/>
        <v>0.98653198653198648</v>
      </c>
    </row>
    <row r="29" spans="2:6">
      <c r="B29" s="202">
        <v>42974</v>
      </c>
      <c r="C29" s="202">
        <v>42980</v>
      </c>
      <c r="D29" s="203">
        <v>4</v>
      </c>
      <c r="E29" s="203">
        <f t="shared" si="1"/>
        <v>297</v>
      </c>
      <c r="F29" s="209">
        <f t="shared" si="0"/>
        <v>1</v>
      </c>
    </row>
    <row r="30" spans="2:6">
      <c r="C30" s="207" t="s">
        <v>0</v>
      </c>
      <c r="D30" s="207">
        <f>SUM(D7:D29)</f>
        <v>297</v>
      </c>
    </row>
  </sheetData>
  <sortState xmlns:xlrd2="http://schemas.microsoft.com/office/spreadsheetml/2017/richdata2" ref="A7:L47">
    <sortCondition ref="A7:A49"/>
    <sortCondition ref="B7:B49"/>
  </sortState>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K15" sqref="K15"/>
    </sheetView>
  </sheetViews>
  <sheetFormatPr defaultColWidth="8.8984375" defaultRowHeight="14.4"/>
  <cols>
    <col min="1" max="1" width="28.09765625" style="137" customWidth="1"/>
    <col min="2" max="2" width="12.8984375" style="137" customWidth="1"/>
    <col min="3" max="3" width="6.796875" style="137" customWidth="1"/>
    <col min="4" max="4" width="19.09765625" style="137" customWidth="1"/>
    <col min="5" max="5" width="12.59765625" style="137" customWidth="1"/>
    <col min="6" max="6" width="8.8984375" style="137"/>
    <col min="7" max="7" width="21.59765625" style="137" customWidth="1"/>
    <col min="8" max="8" width="16.296875" style="137" bestFit="1" customWidth="1"/>
    <col min="9" max="9" width="9.8984375" style="137" bestFit="1" customWidth="1"/>
    <col min="10" max="10" width="24.296875" style="137" bestFit="1" customWidth="1"/>
    <col min="11" max="19" width="8.8984375" style="137"/>
    <col min="20" max="23" width="8.8984375" style="137" customWidth="1"/>
    <col min="24" max="16384" width="8.8984375" style="137"/>
  </cols>
  <sheetData>
    <row r="1" spans="1:9" ht="36.9" customHeight="1">
      <c r="A1" s="135" t="s">
        <v>1107</v>
      </c>
      <c r="B1" s="135"/>
      <c r="C1" s="135"/>
      <c r="D1" s="135"/>
      <c r="E1" s="135"/>
      <c r="F1" s="135"/>
      <c r="G1" s="135"/>
      <c r="H1" s="135"/>
    </row>
    <row r="2" spans="1:9" s="138" customFormat="1" ht="78.75" customHeight="1">
      <c r="A2" s="251" t="s">
        <v>1108</v>
      </c>
      <c r="B2" s="251"/>
      <c r="C2" s="251"/>
      <c r="D2" s="251"/>
      <c r="E2" s="251"/>
      <c r="F2" s="251"/>
      <c r="G2" s="251"/>
      <c r="H2" s="251"/>
    </row>
    <row r="3" spans="1:9" s="138" customFormat="1" ht="24.75" customHeight="1">
      <c r="A3" s="250" t="s">
        <v>23</v>
      </c>
      <c r="B3" s="250"/>
      <c r="D3" s="250" t="s">
        <v>1109</v>
      </c>
      <c r="E3" s="250"/>
      <c r="G3" s="250" t="s">
        <v>1110</v>
      </c>
      <c r="H3" s="250"/>
    </row>
    <row r="4" spans="1:9" s="139" customFormat="1" ht="19.5" customHeight="1">
      <c r="A4" s="145" t="s">
        <v>1111</v>
      </c>
      <c r="B4" s="145" t="s">
        <v>1112</v>
      </c>
      <c r="D4" s="145" t="s">
        <v>1111</v>
      </c>
      <c r="E4" s="145" t="s">
        <v>1113</v>
      </c>
      <c r="G4" s="145" t="s">
        <v>1111</v>
      </c>
      <c r="H4" s="145" t="s">
        <v>1113</v>
      </c>
    </row>
    <row r="5" spans="1:9">
      <c r="A5" s="140" t="s">
        <v>824</v>
      </c>
      <c r="B5" s="141">
        <v>42370</v>
      </c>
      <c r="C5" s="137" t="str">
        <f t="shared" ref="C5:C68" si="0">IF(B5&gt;0,TEXT(B5,"(aaa)"),"")</f>
        <v>(금)</v>
      </c>
      <c r="D5" s="140"/>
      <c r="E5" s="141"/>
      <c r="F5" s="137" t="str">
        <f t="shared" ref="F5:F68" si="1">IF(E5&gt;0,TEXT(E5,"(aaa)"),"")</f>
        <v/>
      </c>
      <c r="G5" s="140"/>
      <c r="H5" s="141"/>
      <c r="I5" s="137" t="str">
        <f t="shared" ref="I5:I68" si="2">IF(H5&gt;0,TEXT(H5,"(aaa)"),"")</f>
        <v/>
      </c>
    </row>
    <row r="6" spans="1:9">
      <c r="A6" s="140" t="s">
        <v>825</v>
      </c>
      <c r="B6" s="141">
        <v>42371</v>
      </c>
      <c r="C6" s="137" t="str">
        <f t="shared" si="0"/>
        <v>(토)</v>
      </c>
      <c r="D6" s="140"/>
      <c r="E6" s="141"/>
      <c r="F6" s="137" t="str">
        <f t="shared" si="1"/>
        <v/>
      </c>
      <c r="G6" s="140"/>
      <c r="H6" s="141"/>
      <c r="I6" s="137" t="str">
        <f t="shared" si="2"/>
        <v/>
      </c>
    </row>
    <row r="7" spans="1:9">
      <c r="A7" s="140" t="s">
        <v>825</v>
      </c>
      <c r="B7" s="141">
        <v>42372</v>
      </c>
      <c r="C7" s="137" t="str">
        <f t="shared" si="0"/>
        <v>(일)</v>
      </c>
      <c r="D7" s="140"/>
      <c r="E7" s="141"/>
      <c r="F7" s="137" t="str">
        <f t="shared" si="1"/>
        <v/>
      </c>
      <c r="G7" s="140"/>
      <c r="H7" s="141"/>
      <c r="I7" s="137" t="str">
        <f t="shared" si="2"/>
        <v/>
      </c>
    </row>
    <row r="8" spans="1:9">
      <c r="A8" s="140" t="s">
        <v>825</v>
      </c>
      <c r="B8" s="141">
        <v>42378</v>
      </c>
      <c r="C8" s="137" t="str">
        <f t="shared" si="0"/>
        <v>(토)</v>
      </c>
      <c r="D8" s="140"/>
      <c r="E8" s="141"/>
      <c r="F8" s="137" t="str">
        <f t="shared" si="1"/>
        <v/>
      </c>
      <c r="G8" s="140"/>
      <c r="H8" s="141"/>
      <c r="I8" s="137" t="str">
        <f t="shared" si="2"/>
        <v/>
      </c>
    </row>
    <row r="9" spans="1:9">
      <c r="A9" s="140" t="s">
        <v>825</v>
      </c>
      <c r="B9" s="141">
        <v>42379</v>
      </c>
      <c r="C9" s="137" t="str">
        <f t="shared" si="0"/>
        <v>(일)</v>
      </c>
      <c r="D9" s="140"/>
      <c r="E9" s="141"/>
      <c r="F9" s="137" t="str">
        <f t="shared" si="1"/>
        <v/>
      </c>
      <c r="G9" s="140"/>
      <c r="H9" s="141"/>
      <c r="I9" s="137" t="str">
        <f t="shared" si="2"/>
        <v/>
      </c>
    </row>
    <row r="10" spans="1:9">
      <c r="A10" s="140" t="s">
        <v>825</v>
      </c>
      <c r="B10" s="141">
        <v>42385</v>
      </c>
      <c r="C10" s="137" t="str">
        <f t="shared" si="0"/>
        <v>(토)</v>
      </c>
      <c r="D10" s="140"/>
      <c r="E10" s="141"/>
      <c r="F10" s="137" t="str">
        <f t="shared" si="1"/>
        <v/>
      </c>
      <c r="G10" s="140"/>
      <c r="H10" s="141"/>
      <c r="I10" s="137" t="str">
        <f t="shared" si="2"/>
        <v/>
      </c>
    </row>
    <row r="11" spans="1:9">
      <c r="A11" s="140" t="s">
        <v>825</v>
      </c>
      <c r="B11" s="141">
        <v>42386</v>
      </c>
      <c r="C11" s="137" t="str">
        <f t="shared" si="0"/>
        <v>(일)</v>
      </c>
      <c r="D11" s="140"/>
      <c r="E11" s="141"/>
      <c r="F11" s="137" t="str">
        <f t="shared" si="1"/>
        <v/>
      </c>
      <c r="G11" s="140"/>
      <c r="H11" s="141"/>
      <c r="I11" s="137" t="str">
        <f t="shared" si="2"/>
        <v/>
      </c>
    </row>
    <row r="12" spans="1:9">
      <c r="A12" s="140" t="s">
        <v>825</v>
      </c>
      <c r="B12" s="141">
        <v>42392</v>
      </c>
      <c r="C12" s="137" t="str">
        <f t="shared" si="0"/>
        <v>(토)</v>
      </c>
      <c r="D12" s="140"/>
      <c r="E12" s="141"/>
      <c r="F12" s="137" t="str">
        <f t="shared" si="1"/>
        <v/>
      </c>
      <c r="G12" s="140"/>
      <c r="H12" s="141"/>
      <c r="I12" s="137" t="str">
        <f t="shared" si="2"/>
        <v/>
      </c>
    </row>
    <row r="13" spans="1:9">
      <c r="A13" s="140" t="s">
        <v>825</v>
      </c>
      <c r="B13" s="141">
        <v>42393</v>
      </c>
      <c r="C13" s="137" t="str">
        <f t="shared" si="0"/>
        <v>(일)</v>
      </c>
      <c r="D13" s="140"/>
      <c r="E13" s="141"/>
      <c r="F13" s="137" t="str">
        <f t="shared" si="1"/>
        <v/>
      </c>
      <c r="G13" s="140"/>
      <c r="H13" s="141"/>
      <c r="I13" s="137" t="str">
        <f t="shared" si="2"/>
        <v/>
      </c>
    </row>
    <row r="14" spans="1:9">
      <c r="A14" s="140" t="s">
        <v>825</v>
      </c>
      <c r="B14" s="141">
        <v>42399</v>
      </c>
      <c r="C14" s="137" t="str">
        <f t="shared" si="0"/>
        <v>(토)</v>
      </c>
      <c r="D14" s="140"/>
      <c r="E14" s="141"/>
      <c r="F14" s="137" t="str">
        <f t="shared" si="1"/>
        <v/>
      </c>
      <c r="G14" s="140"/>
      <c r="H14" s="141"/>
      <c r="I14" s="137" t="str">
        <f t="shared" si="2"/>
        <v/>
      </c>
    </row>
    <row r="15" spans="1:9">
      <c r="A15" s="140" t="s">
        <v>825</v>
      </c>
      <c r="B15" s="141">
        <v>42400</v>
      </c>
      <c r="C15" s="137" t="str">
        <f t="shared" si="0"/>
        <v>(일)</v>
      </c>
      <c r="D15" s="140"/>
      <c r="E15" s="141"/>
      <c r="F15" s="137" t="str">
        <f t="shared" si="1"/>
        <v/>
      </c>
      <c r="G15" s="140"/>
      <c r="H15" s="141"/>
      <c r="I15" s="137" t="str">
        <f t="shared" si="2"/>
        <v/>
      </c>
    </row>
    <row r="16" spans="1:9">
      <c r="A16" s="140" t="s">
        <v>826</v>
      </c>
      <c r="B16" s="141">
        <v>42406</v>
      </c>
      <c r="C16" s="137" t="str">
        <f t="shared" si="0"/>
        <v>(토)</v>
      </c>
      <c r="D16" s="140"/>
      <c r="E16" s="141"/>
      <c r="F16" s="137" t="str">
        <f t="shared" si="1"/>
        <v/>
      </c>
      <c r="G16" s="140"/>
      <c r="H16" s="141"/>
      <c r="I16" s="137" t="str">
        <f t="shared" si="2"/>
        <v/>
      </c>
    </row>
    <row r="17" spans="1:10">
      <c r="A17" s="140" t="s">
        <v>826</v>
      </c>
      <c r="B17" s="141">
        <v>42407</v>
      </c>
      <c r="C17" s="137" t="str">
        <f t="shared" si="0"/>
        <v>(일)</v>
      </c>
      <c r="D17" s="140"/>
      <c r="E17" s="141"/>
      <c r="F17" s="137" t="str">
        <f t="shared" si="1"/>
        <v/>
      </c>
      <c r="G17" s="140"/>
      <c r="H17" s="141"/>
      <c r="I17" s="137" t="str">
        <f t="shared" si="2"/>
        <v/>
      </c>
    </row>
    <row r="18" spans="1:10">
      <c r="A18" s="140" t="s">
        <v>827</v>
      </c>
      <c r="B18" s="141">
        <v>42408</v>
      </c>
      <c r="C18" s="137" t="str">
        <f t="shared" si="0"/>
        <v>(월)</v>
      </c>
      <c r="D18" s="140"/>
      <c r="E18" s="141"/>
      <c r="F18" s="137" t="str">
        <f t="shared" si="1"/>
        <v/>
      </c>
      <c r="G18" s="140"/>
      <c r="H18" s="141"/>
      <c r="I18" s="137" t="str">
        <f t="shared" si="2"/>
        <v/>
      </c>
    </row>
    <row r="19" spans="1:10" ht="15.6">
      <c r="A19" s="140" t="s">
        <v>828</v>
      </c>
      <c r="B19" s="141">
        <v>42409</v>
      </c>
      <c r="C19" s="137" t="str">
        <f t="shared" si="0"/>
        <v>(화)</v>
      </c>
      <c r="D19" s="140"/>
      <c r="E19" s="141"/>
      <c r="F19" s="137" t="str">
        <f t="shared" si="1"/>
        <v/>
      </c>
      <c r="G19" s="140"/>
      <c r="H19" s="141"/>
      <c r="I19" s="137" t="str">
        <f t="shared" si="2"/>
        <v/>
      </c>
      <c r="J19" s="142"/>
    </row>
    <row r="20" spans="1:10" ht="15.6">
      <c r="A20" s="140" t="s">
        <v>829</v>
      </c>
      <c r="B20" s="141">
        <v>42410</v>
      </c>
      <c r="C20" s="137" t="str">
        <f t="shared" si="0"/>
        <v>(수)</v>
      </c>
      <c r="D20" s="140"/>
      <c r="E20" s="141"/>
      <c r="F20" s="137" t="str">
        <f t="shared" si="1"/>
        <v/>
      </c>
      <c r="G20" s="140"/>
      <c r="H20" s="141"/>
      <c r="I20" s="137" t="str">
        <f t="shared" si="2"/>
        <v/>
      </c>
      <c r="J20" s="142"/>
    </row>
    <row r="21" spans="1:10">
      <c r="A21" s="140" t="s">
        <v>826</v>
      </c>
      <c r="B21" s="141">
        <v>42413</v>
      </c>
      <c r="C21" s="137" t="str">
        <f t="shared" si="0"/>
        <v>(토)</v>
      </c>
      <c r="D21" s="140"/>
      <c r="E21" s="141"/>
      <c r="F21" s="137" t="str">
        <f t="shared" si="1"/>
        <v/>
      </c>
      <c r="G21" s="140"/>
      <c r="H21" s="141"/>
      <c r="I21" s="137" t="str">
        <f t="shared" si="2"/>
        <v/>
      </c>
    </row>
    <row r="22" spans="1:10">
      <c r="A22" s="140" t="s">
        <v>826</v>
      </c>
      <c r="B22" s="141">
        <v>42414</v>
      </c>
      <c r="C22" s="137" t="str">
        <f t="shared" si="0"/>
        <v>(일)</v>
      </c>
      <c r="D22" s="140"/>
      <c r="E22" s="141"/>
      <c r="F22" s="137" t="str">
        <f t="shared" si="1"/>
        <v/>
      </c>
      <c r="G22" s="140"/>
      <c r="H22" s="141"/>
      <c r="I22" s="137" t="str">
        <f t="shared" si="2"/>
        <v/>
      </c>
    </row>
    <row r="23" spans="1:10">
      <c r="A23" s="140" t="s">
        <v>826</v>
      </c>
      <c r="B23" s="141">
        <v>42420</v>
      </c>
      <c r="C23" s="137" t="str">
        <f t="shared" si="0"/>
        <v>(토)</v>
      </c>
      <c r="D23" s="140"/>
      <c r="E23" s="141"/>
      <c r="F23" s="137" t="str">
        <f t="shared" si="1"/>
        <v/>
      </c>
      <c r="G23" s="140"/>
      <c r="H23" s="141"/>
      <c r="I23" s="137" t="str">
        <f t="shared" si="2"/>
        <v/>
      </c>
    </row>
    <row r="24" spans="1:10">
      <c r="A24" s="140" t="s">
        <v>826</v>
      </c>
      <c r="B24" s="141">
        <v>42421</v>
      </c>
      <c r="C24" s="137" t="str">
        <f t="shared" si="0"/>
        <v>(일)</v>
      </c>
      <c r="D24" s="140"/>
      <c r="E24" s="141"/>
      <c r="F24" s="137" t="str">
        <f t="shared" si="1"/>
        <v/>
      </c>
      <c r="G24" s="140"/>
      <c r="H24" s="141"/>
      <c r="I24" s="137" t="str">
        <f t="shared" si="2"/>
        <v/>
      </c>
    </row>
    <row r="25" spans="1:10">
      <c r="A25" s="140" t="s">
        <v>826</v>
      </c>
      <c r="B25" s="141">
        <v>42427</v>
      </c>
      <c r="C25" s="137" t="str">
        <f t="shared" si="0"/>
        <v>(토)</v>
      </c>
      <c r="D25" s="140"/>
      <c r="E25" s="141"/>
      <c r="F25" s="137" t="str">
        <f t="shared" si="1"/>
        <v/>
      </c>
      <c r="G25" s="140"/>
      <c r="H25" s="141"/>
      <c r="I25" s="137" t="str">
        <f t="shared" si="2"/>
        <v/>
      </c>
    </row>
    <row r="26" spans="1:10">
      <c r="A26" s="140" t="s">
        <v>826</v>
      </c>
      <c r="B26" s="141">
        <v>42428</v>
      </c>
      <c r="C26" s="137" t="str">
        <f t="shared" si="0"/>
        <v>(일)</v>
      </c>
      <c r="D26" s="140"/>
      <c r="E26" s="141"/>
      <c r="F26" s="137" t="str">
        <f t="shared" si="1"/>
        <v/>
      </c>
      <c r="G26" s="140"/>
      <c r="H26" s="141"/>
      <c r="I26" s="137" t="str">
        <f t="shared" si="2"/>
        <v/>
      </c>
    </row>
    <row r="27" spans="1:10">
      <c r="A27" s="140" t="s">
        <v>830</v>
      </c>
      <c r="B27" s="141">
        <v>42430</v>
      </c>
      <c r="C27" s="137" t="str">
        <f t="shared" si="0"/>
        <v>(화)</v>
      </c>
      <c r="D27" s="140"/>
      <c r="E27" s="141"/>
      <c r="F27" s="137" t="str">
        <f t="shared" si="1"/>
        <v/>
      </c>
      <c r="G27" s="140"/>
      <c r="H27" s="141"/>
      <c r="I27" s="137" t="str">
        <f t="shared" si="2"/>
        <v/>
      </c>
    </row>
    <row r="28" spans="1:10">
      <c r="A28" s="140" t="s">
        <v>831</v>
      </c>
      <c r="B28" s="141">
        <v>42434</v>
      </c>
      <c r="C28" s="137" t="str">
        <f t="shared" si="0"/>
        <v>(토)</v>
      </c>
      <c r="D28" s="140"/>
      <c r="E28" s="141"/>
      <c r="F28" s="137" t="str">
        <f t="shared" si="1"/>
        <v/>
      </c>
      <c r="G28" s="140"/>
      <c r="H28" s="141"/>
      <c r="I28" s="137" t="str">
        <f t="shared" si="2"/>
        <v/>
      </c>
    </row>
    <row r="29" spans="1:10">
      <c r="A29" s="140" t="s">
        <v>831</v>
      </c>
      <c r="B29" s="141">
        <v>42435</v>
      </c>
      <c r="C29" s="137" t="str">
        <f t="shared" si="0"/>
        <v>(일)</v>
      </c>
      <c r="D29" s="140"/>
      <c r="E29" s="141"/>
      <c r="F29" s="137" t="str">
        <f t="shared" si="1"/>
        <v/>
      </c>
      <c r="G29" s="140"/>
      <c r="H29" s="141"/>
      <c r="I29" s="137" t="str">
        <f t="shared" si="2"/>
        <v/>
      </c>
    </row>
    <row r="30" spans="1:10">
      <c r="A30" s="140" t="s">
        <v>831</v>
      </c>
      <c r="B30" s="141">
        <v>42441</v>
      </c>
      <c r="C30" s="137" t="str">
        <f t="shared" si="0"/>
        <v>(토)</v>
      </c>
      <c r="D30" s="140"/>
      <c r="E30" s="141"/>
      <c r="F30" s="137" t="str">
        <f t="shared" si="1"/>
        <v/>
      </c>
      <c r="G30" s="140"/>
      <c r="H30" s="141"/>
      <c r="I30" s="137" t="str">
        <f t="shared" si="2"/>
        <v/>
      </c>
    </row>
    <row r="31" spans="1:10">
      <c r="A31" s="140" t="s">
        <v>831</v>
      </c>
      <c r="B31" s="141">
        <v>42442</v>
      </c>
      <c r="C31" s="137" t="str">
        <f t="shared" si="0"/>
        <v>(일)</v>
      </c>
      <c r="D31" s="140"/>
      <c r="E31" s="141"/>
      <c r="F31" s="137" t="str">
        <f t="shared" si="1"/>
        <v/>
      </c>
      <c r="G31" s="140"/>
      <c r="H31" s="141"/>
      <c r="I31" s="137" t="str">
        <f t="shared" si="2"/>
        <v/>
      </c>
    </row>
    <row r="32" spans="1:10">
      <c r="A32" s="140" t="s">
        <v>831</v>
      </c>
      <c r="B32" s="141">
        <v>42448</v>
      </c>
      <c r="C32" s="137" t="str">
        <f t="shared" si="0"/>
        <v>(토)</v>
      </c>
      <c r="D32" s="140"/>
      <c r="E32" s="141"/>
      <c r="F32" s="137" t="str">
        <f t="shared" si="1"/>
        <v/>
      </c>
      <c r="G32" s="140"/>
      <c r="H32" s="141"/>
      <c r="I32" s="137" t="str">
        <f t="shared" si="2"/>
        <v/>
      </c>
    </row>
    <row r="33" spans="1:9">
      <c r="A33" s="140" t="s">
        <v>831</v>
      </c>
      <c r="B33" s="141">
        <v>42449</v>
      </c>
      <c r="C33" s="137" t="str">
        <f t="shared" si="0"/>
        <v>(일)</v>
      </c>
      <c r="D33" s="140"/>
      <c r="E33" s="141"/>
      <c r="F33" s="137" t="str">
        <f t="shared" si="1"/>
        <v/>
      </c>
      <c r="G33" s="140"/>
      <c r="H33" s="141"/>
      <c r="I33" s="137" t="str">
        <f t="shared" si="2"/>
        <v/>
      </c>
    </row>
    <row r="34" spans="1:9">
      <c r="A34" s="140" t="s">
        <v>831</v>
      </c>
      <c r="B34" s="141">
        <v>42455</v>
      </c>
      <c r="C34" s="137" t="str">
        <f t="shared" si="0"/>
        <v>(토)</v>
      </c>
      <c r="D34" s="140"/>
      <c r="E34" s="141"/>
      <c r="F34" s="137" t="str">
        <f t="shared" si="1"/>
        <v/>
      </c>
      <c r="G34" s="140"/>
      <c r="H34" s="141"/>
      <c r="I34" s="137" t="str">
        <f t="shared" si="2"/>
        <v/>
      </c>
    </row>
    <row r="35" spans="1:9">
      <c r="A35" s="140" t="s">
        <v>831</v>
      </c>
      <c r="B35" s="141">
        <v>42456</v>
      </c>
      <c r="C35" s="137" t="str">
        <f t="shared" si="0"/>
        <v>(일)</v>
      </c>
      <c r="D35" s="140"/>
      <c r="E35" s="141"/>
      <c r="F35" s="137" t="str">
        <f t="shared" si="1"/>
        <v/>
      </c>
      <c r="G35" s="140"/>
      <c r="H35" s="141"/>
      <c r="I35" s="137" t="str">
        <f t="shared" si="2"/>
        <v/>
      </c>
    </row>
    <row r="36" spans="1:9">
      <c r="A36" s="140" t="s">
        <v>832</v>
      </c>
      <c r="B36" s="141">
        <v>42462</v>
      </c>
      <c r="C36" s="137" t="str">
        <f t="shared" si="0"/>
        <v>(토)</v>
      </c>
      <c r="D36" s="140"/>
      <c r="E36" s="141"/>
      <c r="F36" s="137" t="str">
        <f t="shared" si="1"/>
        <v/>
      </c>
      <c r="G36" s="140"/>
      <c r="H36" s="141"/>
      <c r="I36" s="137" t="str">
        <f t="shared" si="2"/>
        <v/>
      </c>
    </row>
    <row r="37" spans="1:9">
      <c r="A37" s="140" t="s">
        <v>832</v>
      </c>
      <c r="B37" s="141">
        <v>42463</v>
      </c>
      <c r="C37" s="137" t="str">
        <f t="shared" si="0"/>
        <v>(일)</v>
      </c>
      <c r="D37" s="140"/>
      <c r="E37" s="141"/>
      <c r="F37" s="137" t="str">
        <f t="shared" si="1"/>
        <v/>
      </c>
      <c r="G37" s="140"/>
      <c r="H37" s="141"/>
      <c r="I37" s="137" t="str">
        <f t="shared" si="2"/>
        <v/>
      </c>
    </row>
    <row r="38" spans="1:9">
      <c r="A38" s="140" t="s">
        <v>832</v>
      </c>
      <c r="B38" s="141">
        <v>42469</v>
      </c>
      <c r="C38" s="137" t="str">
        <f t="shared" si="0"/>
        <v>(토)</v>
      </c>
      <c r="D38" s="140"/>
      <c r="E38" s="141"/>
      <c r="F38" s="137" t="str">
        <f t="shared" si="1"/>
        <v/>
      </c>
      <c r="G38" s="140"/>
      <c r="H38" s="141"/>
      <c r="I38" s="137" t="str">
        <f t="shared" si="2"/>
        <v/>
      </c>
    </row>
    <row r="39" spans="1:9">
      <c r="A39" s="140" t="s">
        <v>832</v>
      </c>
      <c r="B39" s="141">
        <v>42470</v>
      </c>
      <c r="C39" s="137" t="str">
        <f t="shared" si="0"/>
        <v>(일)</v>
      </c>
      <c r="D39" s="140"/>
      <c r="E39" s="141"/>
      <c r="F39" s="137" t="str">
        <f t="shared" si="1"/>
        <v/>
      </c>
      <c r="G39" s="140"/>
      <c r="H39" s="141"/>
      <c r="I39" s="137" t="str">
        <f t="shared" si="2"/>
        <v/>
      </c>
    </row>
    <row r="40" spans="1:9">
      <c r="A40" s="140" t="s">
        <v>833</v>
      </c>
      <c r="B40" s="141">
        <v>42473</v>
      </c>
      <c r="C40" s="137" t="str">
        <f t="shared" si="0"/>
        <v>(수)</v>
      </c>
      <c r="D40" s="140"/>
      <c r="E40" s="141"/>
      <c r="F40" s="137" t="str">
        <f t="shared" si="1"/>
        <v/>
      </c>
      <c r="G40" s="140"/>
      <c r="H40" s="141"/>
      <c r="I40" s="137" t="str">
        <f t="shared" si="2"/>
        <v/>
      </c>
    </row>
    <row r="41" spans="1:9">
      <c r="A41" s="140" t="s">
        <v>832</v>
      </c>
      <c r="B41" s="141">
        <v>42476</v>
      </c>
      <c r="C41" s="137" t="str">
        <f t="shared" si="0"/>
        <v>(토)</v>
      </c>
      <c r="D41" s="140"/>
      <c r="E41" s="141"/>
      <c r="F41" s="137" t="str">
        <f t="shared" si="1"/>
        <v/>
      </c>
      <c r="G41" s="140"/>
      <c r="H41" s="141"/>
      <c r="I41" s="137" t="str">
        <f t="shared" si="2"/>
        <v/>
      </c>
    </row>
    <row r="42" spans="1:9">
      <c r="A42" s="140" t="s">
        <v>832</v>
      </c>
      <c r="B42" s="141">
        <v>42477</v>
      </c>
      <c r="C42" s="137" t="str">
        <f t="shared" si="0"/>
        <v>(일)</v>
      </c>
      <c r="D42" s="140"/>
      <c r="E42" s="141"/>
      <c r="F42" s="137" t="str">
        <f t="shared" si="1"/>
        <v/>
      </c>
      <c r="G42" s="140"/>
      <c r="H42" s="141"/>
      <c r="I42" s="137" t="str">
        <f t="shared" si="2"/>
        <v/>
      </c>
    </row>
    <row r="43" spans="1:9">
      <c r="A43" s="140" t="s">
        <v>832</v>
      </c>
      <c r="B43" s="141">
        <v>42483</v>
      </c>
      <c r="C43" s="137" t="str">
        <f t="shared" si="0"/>
        <v>(토)</v>
      </c>
      <c r="D43" s="140"/>
      <c r="E43" s="141"/>
      <c r="F43" s="137" t="str">
        <f t="shared" si="1"/>
        <v/>
      </c>
      <c r="G43" s="140"/>
      <c r="H43" s="141"/>
      <c r="I43" s="137" t="str">
        <f t="shared" si="2"/>
        <v/>
      </c>
    </row>
    <row r="44" spans="1:9">
      <c r="A44" s="140" t="s">
        <v>832</v>
      </c>
      <c r="B44" s="141">
        <v>42484</v>
      </c>
      <c r="C44" s="137" t="str">
        <f t="shared" si="0"/>
        <v>(일)</v>
      </c>
      <c r="D44" s="140"/>
      <c r="E44" s="141"/>
      <c r="F44" s="137" t="str">
        <f t="shared" si="1"/>
        <v/>
      </c>
      <c r="G44" s="140"/>
      <c r="H44" s="141"/>
      <c r="I44" s="137" t="str">
        <f t="shared" si="2"/>
        <v/>
      </c>
    </row>
    <row r="45" spans="1:9">
      <c r="A45" s="140" t="s">
        <v>832</v>
      </c>
      <c r="B45" s="141">
        <v>42490</v>
      </c>
      <c r="C45" s="137" t="str">
        <f t="shared" si="0"/>
        <v>(토)</v>
      </c>
      <c r="D45" s="140"/>
      <c r="E45" s="141"/>
      <c r="F45" s="137" t="str">
        <f t="shared" si="1"/>
        <v/>
      </c>
      <c r="G45" s="140"/>
      <c r="H45" s="141"/>
      <c r="I45" s="137" t="str">
        <f t="shared" si="2"/>
        <v/>
      </c>
    </row>
    <row r="46" spans="1:9">
      <c r="A46" s="140" t="s">
        <v>834</v>
      </c>
      <c r="B46" s="141">
        <v>42491</v>
      </c>
      <c r="C46" s="137" t="str">
        <f t="shared" si="0"/>
        <v>(일)</v>
      </c>
      <c r="D46" s="140"/>
      <c r="E46" s="141"/>
      <c r="F46" s="137" t="str">
        <f t="shared" si="1"/>
        <v/>
      </c>
      <c r="G46" s="140"/>
      <c r="H46" s="141"/>
      <c r="I46" s="137" t="str">
        <f t="shared" si="2"/>
        <v/>
      </c>
    </row>
    <row r="47" spans="1:9">
      <c r="A47" s="140" t="s">
        <v>835</v>
      </c>
      <c r="B47" s="141">
        <v>42495</v>
      </c>
      <c r="C47" s="137" t="str">
        <f t="shared" si="0"/>
        <v>(목)</v>
      </c>
      <c r="D47" s="140"/>
      <c r="E47" s="141"/>
      <c r="F47" s="137" t="str">
        <f t="shared" si="1"/>
        <v/>
      </c>
      <c r="G47" s="140"/>
      <c r="H47" s="141"/>
      <c r="I47" s="137" t="str">
        <f t="shared" si="2"/>
        <v/>
      </c>
    </row>
    <row r="48" spans="1:9">
      <c r="A48" s="140" t="s">
        <v>834</v>
      </c>
      <c r="B48" s="141">
        <v>42497</v>
      </c>
      <c r="C48" s="137" t="str">
        <f t="shared" si="0"/>
        <v>(토)</v>
      </c>
      <c r="D48" s="140"/>
      <c r="E48" s="141"/>
      <c r="F48" s="137" t="str">
        <f t="shared" si="1"/>
        <v/>
      </c>
      <c r="G48" s="140"/>
      <c r="H48" s="141"/>
      <c r="I48" s="137" t="str">
        <f t="shared" si="2"/>
        <v/>
      </c>
    </row>
    <row r="49" spans="1:9">
      <c r="A49" s="140" t="s">
        <v>834</v>
      </c>
      <c r="B49" s="141">
        <v>42498</v>
      </c>
      <c r="C49" s="137" t="str">
        <f t="shared" si="0"/>
        <v>(일)</v>
      </c>
      <c r="D49" s="140"/>
      <c r="E49" s="141"/>
      <c r="F49" s="137" t="str">
        <f t="shared" si="1"/>
        <v/>
      </c>
      <c r="G49" s="140"/>
      <c r="H49" s="141"/>
      <c r="I49" s="137" t="str">
        <f t="shared" si="2"/>
        <v/>
      </c>
    </row>
    <row r="50" spans="1:9">
      <c r="A50" s="140" t="s">
        <v>836</v>
      </c>
      <c r="B50" s="141">
        <v>42504</v>
      </c>
      <c r="C50" s="137" t="str">
        <f t="shared" si="0"/>
        <v>(토)</v>
      </c>
      <c r="D50" s="140"/>
      <c r="E50" s="141"/>
      <c r="F50" s="137" t="str">
        <f t="shared" si="1"/>
        <v/>
      </c>
      <c r="G50" s="140"/>
      <c r="H50" s="141"/>
      <c r="I50" s="137" t="str">
        <f t="shared" si="2"/>
        <v/>
      </c>
    </row>
    <row r="51" spans="1:9">
      <c r="A51" s="140" t="s">
        <v>834</v>
      </c>
      <c r="B51" s="141">
        <v>42505</v>
      </c>
      <c r="C51" s="137" t="str">
        <f t="shared" si="0"/>
        <v>(일)</v>
      </c>
      <c r="D51" s="140"/>
      <c r="E51" s="141"/>
      <c r="F51" s="137" t="str">
        <f t="shared" si="1"/>
        <v/>
      </c>
      <c r="G51" s="140"/>
      <c r="H51" s="141"/>
      <c r="I51" s="137" t="str">
        <f t="shared" si="2"/>
        <v/>
      </c>
    </row>
    <row r="52" spans="1:9">
      <c r="A52" s="140" t="s">
        <v>834</v>
      </c>
      <c r="B52" s="141">
        <v>42511</v>
      </c>
      <c r="C52" s="137" t="str">
        <f t="shared" si="0"/>
        <v>(토)</v>
      </c>
      <c r="D52" s="140"/>
      <c r="E52" s="141"/>
      <c r="F52" s="137" t="str">
        <f t="shared" si="1"/>
        <v/>
      </c>
      <c r="G52" s="140"/>
      <c r="H52" s="141"/>
      <c r="I52" s="137" t="str">
        <f t="shared" si="2"/>
        <v/>
      </c>
    </row>
    <row r="53" spans="1:9">
      <c r="A53" s="140" t="s">
        <v>834</v>
      </c>
      <c r="B53" s="141">
        <v>42512</v>
      </c>
      <c r="C53" s="137" t="str">
        <f t="shared" si="0"/>
        <v>(일)</v>
      </c>
      <c r="D53" s="140"/>
      <c r="E53" s="141"/>
      <c r="F53" s="137" t="str">
        <f t="shared" si="1"/>
        <v/>
      </c>
      <c r="G53" s="140"/>
      <c r="H53" s="141"/>
      <c r="I53" s="137" t="str">
        <f t="shared" si="2"/>
        <v/>
      </c>
    </row>
    <row r="54" spans="1:9">
      <c r="A54" s="140" t="s">
        <v>834</v>
      </c>
      <c r="B54" s="141">
        <v>42518</v>
      </c>
      <c r="C54" s="137" t="str">
        <f t="shared" si="0"/>
        <v>(토)</v>
      </c>
      <c r="D54" s="140"/>
      <c r="E54" s="141"/>
      <c r="F54" s="137" t="str">
        <f t="shared" si="1"/>
        <v/>
      </c>
      <c r="G54" s="140"/>
      <c r="H54" s="141"/>
      <c r="I54" s="137" t="str">
        <f t="shared" si="2"/>
        <v/>
      </c>
    </row>
    <row r="55" spans="1:9">
      <c r="A55" s="140" t="s">
        <v>834</v>
      </c>
      <c r="B55" s="141">
        <v>42519</v>
      </c>
      <c r="C55" s="137" t="str">
        <f t="shared" si="0"/>
        <v>(일)</v>
      </c>
      <c r="D55" s="140"/>
      <c r="E55" s="141"/>
      <c r="F55" s="137" t="str">
        <f t="shared" si="1"/>
        <v/>
      </c>
      <c r="G55" s="140"/>
      <c r="H55" s="141"/>
      <c r="I55" s="137" t="str">
        <f t="shared" si="2"/>
        <v/>
      </c>
    </row>
    <row r="56" spans="1:9">
      <c r="A56" s="140" t="s">
        <v>837</v>
      </c>
      <c r="B56" s="141">
        <v>42525</v>
      </c>
      <c r="C56" s="137" t="str">
        <f t="shared" si="0"/>
        <v>(토)</v>
      </c>
      <c r="D56" s="140"/>
      <c r="E56" s="141"/>
      <c r="F56" s="137" t="str">
        <f t="shared" si="1"/>
        <v/>
      </c>
      <c r="G56" s="140"/>
      <c r="H56" s="141"/>
      <c r="I56" s="137" t="str">
        <f t="shared" si="2"/>
        <v/>
      </c>
    </row>
    <row r="57" spans="1:9">
      <c r="A57" s="140" t="s">
        <v>837</v>
      </c>
      <c r="B57" s="141">
        <v>42526</v>
      </c>
      <c r="C57" s="137" t="str">
        <f t="shared" si="0"/>
        <v>(일)</v>
      </c>
      <c r="D57" s="140"/>
      <c r="E57" s="141"/>
      <c r="F57" s="137" t="str">
        <f t="shared" si="1"/>
        <v/>
      </c>
      <c r="G57" s="140"/>
      <c r="H57" s="141"/>
      <c r="I57" s="137" t="str">
        <f t="shared" si="2"/>
        <v/>
      </c>
    </row>
    <row r="58" spans="1:9">
      <c r="A58" s="140" t="s">
        <v>838</v>
      </c>
      <c r="B58" s="141">
        <v>42527</v>
      </c>
      <c r="C58" s="137" t="str">
        <f t="shared" si="0"/>
        <v>(월)</v>
      </c>
      <c r="D58" s="140"/>
      <c r="E58" s="141"/>
      <c r="F58" s="137" t="str">
        <f t="shared" si="1"/>
        <v/>
      </c>
      <c r="G58" s="140"/>
      <c r="H58" s="141"/>
      <c r="I58" s="137" t="str">
        <f t="shared" si="2"/>
        <v/>
      </c>
    </row>
    <row r="59" spans="1:9">
      <c r="A59" s="140" t="s">
        <v>837</v>
      </c>
      <c r="B59" s="141">
        <v>42532</v>
      </c>
      <c r="C59" s="137" t="str">
        <f t="shared" si="0"/>
        <v>(토)</v>
      </c>
      <c r="D59" s="140"/>
      <c r="E59" s="141"/>
      <c r="F59" s="137" t="str">
        <f t="shared" si="1"/>
        <v/>
      </c>
      <c r="G59" s="140"/>
      <c r="H59" s="141"/>
      <c r="I59" s="137" t="str">
        <f t="shared" si="2"/>
        <v/>
      </c>
    </row>
    <row r="60" spans="1:9">
      <c r="A60" s="140" t="s">
        <v>837</v>
      </c>
      <c r="B60" s="141">
        <v>42533</v>
      </c>
      <c r="C60" s="137" t="str">
        <f t="shared" si="0"/>
        <v>(일)</v>
      </c>
      <c r="D60" s="140"/>
      <c r="E60" s="141"/>
      <c r="F60" s="137" t="str">
        <f t="shared" si="1"/>
        <v/>
      </c>
      <c r="G60" s="140"/>
      <c r="H60" s="141"/>
      <c r="I60" s="137" t="str">
        <f t="shared" si="2"/>
        <v/>
      </c>
    </row>
    <row r="61" spans="1:9">
      <c r="A61" s="140" t="s">
        <v>837</v>
      </c>
      <c r="B61" s="141">
        <v>42539</v>
      </c>
      <c r="C61" s="137" t="str">
        <f t="shared" si="0"/>
        <v>(토)</v>
      </c>
      <c r="D61" s="140"/>
      <c r="E61" s="141"/>
      <c r="F61" s="137" t="str">
        <f t="shared" si="1"/>
        <v/>
      </c>
      <c r="G61" s="140"/>
      <c r="H61" s="141"/>
      <c r="I61" s="137" t="str">
        <f t="shared" si="2"/>
        <v/>
      </c>
    </row>
    <row r="62" spans="1:9">
      <c r="A62" s="140" t="s">
        <v>837</v>
      </c>
      <c r="B62" s="141">
        <v>42540</v>
      </c>
      <c r="C62" s="137" t="str">
        <f t="shared" si="0"/>
        <v>(일)</v>
      </c>
      <c r="D62" s="140"/>
      <c r="E62" s="141"/>
      <c r="F62" s="137" t="str">
        <f t="shared" si="1"/>
        <v/>
      </c>
      <c r="G62" s="140"/>
      <c r="H62" s="141"/>
      <c r="I62" s="137" t="str">
        <f t="shared" si="2"/>
        <v/>
      </c>
    </row>
    <row r="63" spans="1:9">
      <c r="A63" s="140" t="s">
        <v>837</v>
      </c>
      <c r="B63" s="141">
        <v>42546</v>
      </c>
      <c r="C63" s="137" t="str">
        <f t="shared" si="0"/>
        <v>(토)</v>
      </c>
      <c r="D63" s="140"/>
      <c r="E63" s="141"/>
      <c r="F63" s="137" t="str">
        <f t="shared" si="1"/>
        <v/>
      </c>
      <c r="G63" s="140"/>
      <c r="H63" s="141"/>
      <c r="I63" s="137" t="str">
        <f t="shared" si="2"/>
        <v/>
      </c>
    </row>
    <row r="64" spans="1:9">
      <c r="A64" s="140" t="s">
        <v>837</v>
      </c>
      <c r="B64" s="141">
        <v>42547</v>
      </c>
      <c r="C64" s="137" t="str">
        <f t="shared" si="0"/>
        <v>(일)</v>
      </c>
      <c r="D64" s="140"/>
      <c r="E64" s="141"/>
      <c r="F64" s="137" t="str">
        <f t="shared" si="1"/>
        <v/>
      </c>
      <c r="G64" s="140"/>
      <c r="H64" s="141"/>
      <c r="I64" s="137" t="str">
        <f t="shared" si="2"/>
        <v/>
      </c>
    </row>
    <row r="65" spans="1:9">
      <c r="A65" s="140" t="s">
        <v>839</v>
      </c>
      <c r="B65" s="141">
        <v>42553</v>
      </c>
      <c r="C65" s="137" t="str">
        <f t="shared" si="0"/>
        <v>(토)</v>
      </c>
      <c r="D65" s="140"/>
      <c r="E65" s="141"/>
      <c r="F65" s="137" t="str">
        <f t="shared" si="1"/>
        <v/>
      </c>
      <c r="G65" s="140"/>
      <c r="H65" s="141"/>
      <c r="I65" s="137" t="str">
        <f t="shared" si="2"/>
        <v/>
      </c>
    </row>
    <row r="66" spans="1:9">
      <c r="A66" s="140" t="s">
        <v>839</v>
      </c>
      <c r="B66" s="141">
        <v>42554</v>
      </c>
      <c r="C66" s="137" t="str">
        <f t="shared" si="0"/>
        <v>(일)</v>
      </c>
      <c r="D66" s="140"/>
      <c r="E66" s="141"/>
      <c r="F66" s="137" t="str">
        <f t="shared" si="1"/>
        <v/>
      </c>
      <c r="G66" s="140"/>
      <c r="H66" s="141"/>
      <c r="I66" s="137" t="str">
        <f t="shared" si="2"/>
        <v/>
      </c>
    </row>
    <row r="67" spans="1:9">
      <c r="A67" s="140" t="s">
        <v>839</v>
      </c>
      <c r="B67" s="141">
        <v>42560</v>
      </c>
      <c r="C67" s="137" t="str">
        <f t="shared" si="0"/>
        <v>(토)</v>
      </c>
      <c r="D67" s="140"/>
      <c r="E67" s="141"/>
      <c r="F67" s="137" t="str">
        <f t="shared" si="1"/>
        <v/>
      </c>
      <c r="G67" s="140"/>
      <c r="H67" s="141"/>
      <c r="I67" s="137" t="str">
        <f t="shared" si="2"/>
        <v/>
      </c>
    </row>
    <row r="68" spans="1:9">
      <c r="A68" s="140" t="s">
        <v>839</v>
      </c>
      <c r="B68" s="141">
        <v>42561</v>
      </c>
      <c r="C68" s="137" t="str">
        <f t="shared" si="0"/>
        <v>(일)</v>
      </c>
      <c r="D68" s="140"/>
      <c r="E68" s="141"/>
      <c r="F68" s="137" t="str">
        <f t="shared" si="1"/>
        <v/>
      </c>
      <c r="G68" s="140"/>
      <c r="H68" s="141"/>
      <c r="I68" s="137" t="str">
        <f t="shared" si="2"/>
        <v/>
      </c>
    </row>
    <row r="69" spans="1:9">
      <c r="A69" s="140" t="s">
        <v>839</v>
      </c>
      <c r="B69" s="141">
        <v>42567</v>
      </c>
      <c r="C69" s="137" t="str">
        <f t="shared" ref="C69:C132" si="3">IF(B69&gt;0,TEXT(B69,"(aaa)"),"")</f>
        <v>(토)</v>
      </c>
      <c r="D69" s="140"/>
      <c r="E69" s="141"/>
      <c r="F69" s="137" t="str">
        <f t="shared" ref="F69:F132" si="4">IF(E69&gt;0,TEXT(E69,"(aaa)"),"")</f>
        <v/>
      </c>
      <c r="G69" s="140"/>
      <c r="H69" s="141"/>
      <c r="I69" s="137" t="str">
        <f t="shared" ref="I69:I132" si="5">IF(H69&gt;0,TEXT(H69,"(aaa)"),"")</f>
        <v/>
      </c>
    </row>
    <row r="70" spans="1:9">
      <c r="A70" s="140" t="s">
        <v>839</v>
      </c>
      <c r="B70" s="141">
        <v>42568</v>
      </c>
      <c r="C70" s="137" t="str">
        <f t="shared" si="3"/>
        <v>(일)</v>
      </c>
      <c r="D70" s="140"/>
      <c r="E70" s="141"/>
      <c r="F70" s="137" t="str">
        <f t="shared" si="4"/>
        <v/>
      </c>
      <c r="G70" s="140"/>
      <c r="H70" s="141"/>
      <c r="I70" s="137" t="str">
        <f t="shared" si="5"/>
        <v/>
      </c>
    </row>
    <row r="71" spans="1:9">
      <c r="A71" s="140" t="s">
        <v>839</v>
      </c>
      <c r="B71" s="141">
        <v>42574</v>
      </c>
      <c r="C71" s="137" t="str">
        <f t="shared" si="3"/>
        <v>(토)</v>
      </c>
      <c r="D71" s="140"/>
      <c r="E71" s="141"/>
      <c r="F71" s="137" t="str">
        <f t="shared" si="4"/>
        <v/>
      </c>
      <c r="G71" s="140"/>
      <c r="H71" s="141"/>
      <c r="I71" s="137" t="str">
        <f t="shared" si="5"/>
        <v/>
      </c>
    </row>
    <row r="72" spans="1:9">
      <c r="A72" s="140" t="s">
        <v>839</v>
      </c>
      <c r="B72" s="141">
        <v>42575</v>
      </c>
      <c r="C72" s="137" t="str">
        <f t="shared" si="3"/>
        <v>(일)</v>
      </c>
      <c r="D72" s="140"/>
      <c r="E72" s="141"/>
      <c r="F72" s="137" t="str">
        <f t="shared" si="4"/>
        <v/>
      </c>
      <c r="G72" s="140"/>
      <c r="H72" s="141"/>
      <c r="I72" s="137" t="str">
        <f t="shared" si="5"/>
        <v/>
      </c>
    </row>
    <row r="73" spans="1:9">
      <c r="A73" s="140" t="s">
        <v>839</v>
      </c>
      <c r="B73" s="141">
        <v>42581</v>
      </c>
      <c r="C73" s="137" t="str">
        <f t="shared" si="3"/>
        <v>(토)</v>
      </c>
      <c r="D73" s="140"/>
      <c r="E73" s="141"/>
      <c r="F73" s="137" t="str">
        <f t="shared" si="4"/>
        <v/>
      </c>
      <c r="G73" s="140"/>
      <c r="H73" s="141"/>
      <c r="I73" s="137" t="str">
        <f t="shared" si="5"/>
        <v/>
      </c>
    </row>
    <row r="74" spans="1:9">
      <c r="A74" s="140" t="s">
        <v>839</v>
      </c>
      <c r="B74" s="141">
        <v>42582</v>
      </c>
      <c r="C74" s="137" t="str">
        <f t="shared" si="3"/>
        <v>(일)</v>
      </c>
      <c r="D74" s="140"/>
      <c r="E74" s="141"/>
      <c r="F74" s="137" t="str">
        <f t="shared" si="4"/>
        <v/>
      </c>
      <c r="G74" s="140"/>
      <c r="H74" s="141"/>
      <c r="I74" s="137" t="str">
        <f t="shared" si="5"/>
        <v/>
      </c>
    </row>
    <row r="75" spans="1:9">
      <c r="A75" s="140" t="s">
        <v>840</v>
      </c>
      <c r="B75" s="141">
        <v>42588</v>
      </c>
      <c r="C75" s="137" t="str">
        <f t="shared" si="3"/>
        <v>(토)</v>
      </c>
      <c r="D75" s="140"/>
      <c r="E75" s="141"/>
      <c r="F75" s="137" t="str">
        <f t="shared" si="4"/>
        <v/>
      </c>
      <c r="G75" s="140"/>
      <c r="H75" s="141"/>
      <c r="I75" s="137" t="str">
        <f t="shared" si="5"/>
        <v/>
      </c>
    </row>
    <row r="76" spans="1:9">
      <c r="A76" s="140" t="s">
        <v>840</v>
      </c>
      <c r="B76" s="141">
        <v>42589</v>
      </c>
      <c r="C76" s="137" t="str">
        <f t="shared" si="3"/>
        <v>(일)</v>
      </c>
      <c r="D76" s="140"/>
      <c r="E76" s="141"/>
      <c r="F76" s="137" t="str">
        <f t="shared" si="4"/>
        <v/>
      </c>
      <c r="G76" s="140"/>
      <c r="H76" s="141"/>
      <c r="I76" s="137" t="str">
        <f t="shared" si="5"/>
        <v/>
      </c>
    </row>
    <row r="77" spans="1:9">
      <c r="A77" s="140" t="s">
        <v>840</v>
      </c>
      <c r="B77" s="141">
        <v>42595</v>
      </c>
      <c r="C77" s="137" t="str">
        <f t="shared" si="3"/>
        <v>(토)</v>
      </c>
      <c r="D77" s="140"/>
      <c r="E77" s="141"/>
      <c r="F77" s="137" t="str">
        <f t="shared" si="4"/>
        <v/>
      </c>
      <c r="G77" s="140"/>
      <c r="H77" s="141"/>
      <c r="I77" s="137" t="str">
        <f t="shared" si="5"/>
        <v/>
      </c>
    </row>
    <row r="78" spans="1:9">
      <c r="A78" s="140" t="s">
        <v>840</v>
      </c>
      <c r="B78" s="141">
        <v>42596</v>
      </c>
      <c r="C78" s="137" t="str">
        <f t="shared" si="3"/>
        <v>(일)</v>
      </c>
      <c r="D78" s="140"/>
      <c r="E78" s="141"/>
      <c r="F78" s="137" t="str">
        <f t="shared" si="4"/>
        <v/>
      </c>
      <c r="G78" s="140"/>
      <c r="H78" s="141"/>
      <c r="I78" s="137" t="str">
        <f t="shared" si="5"/>
        <v/>
      </c>
    </row>
    <row r="79" spans="1:9">
      <c r="A79" s="140" t="s">
        <v>841</v>
      </c>
      <c r="B79" s="141">
        <v>42597</v>
      </c>
      <c r="C79" s="137" t="str">
        <f t="shared" si="3"/>
        <v>(월)</v>
      </c>
      <c r="D79" s="140"/>
      <c r="E79" s="141"/>
      <c r="F79" s="137" t="str">
        <f t="shared" si="4"/>
        <v/>
      </c>
      <c r="G79" s="140"/>
      <c r="H79" s="141"/>
      <c r="I79" s="137" t="str">
        <f t="shared" si="5"/>
        <v/>
      </c>
    </row>
    <row r="80" spans="1:9">
      <c r="A80" s="140" t="s">
        <v>840</v>
      </c>
      <c r="B80" s="141">
        <v>42602</v>
      </c>
      <c r="C80" s="137" t="str">
        <f t="shared" si="3"/>
        <v>(토)</v>
      </c>
      <c r="D80" s="140"/>
      <c r="E80" s="141"/>
      <c r="F80" s="137" t="str">
        <f t="shared" si="4"/>
        <v/>
      </c>
      <c r="G80" s="140"/>
      <c r="H80" s="141"/>
      <c r="I80" s="137" t="str">
        <f t="shared" si="5"/>
        <v/>
      </c>
    </row>
    <row r="81" spans="1:9">
      <c r="A81" s="140" t="s">
        <v>840</v>
      </c>
      <c r="B81" s="141">
        <v>42603</v>
      </c>
      <c r="C81" s="137" t="str">
        <f t="shared" si="3"/>
        <v>(일)</v>
      </c>
      <c r="D81" s="140"/>
      <c r="E81" s="141"/>
      <c r="F81" s="137" t="str">
        <f t="shared" si="4"/>
        <v/>
      </c>
      <c r="G81" s="140"/>
      <c r="H81" s="141"/>
      <c r="I81" s="137" t="str">
        <f t="shared" si="5"/>
        <v/>
      </c>
    </row>
    <row r="82" spans="1:9">
      <c r="A82" s="140" t="s">
        <v>840</v>
      </c>
      <c r="B82" s="141">
        <v>42609</v>
      </c>
      <c r="C82" s="137" t="str">
        <f t="shared" si="3"/>
        <v>(토)</v>
      </c>
      <c r="D82" s="140"/>
      <c r="E82" s="141"/>
      <c r="F82" s="137" t="str">
        <f t="shared" si="4"/>
        <v/>
      </c>
      <c r="G82" s="140"/>
      <c r="H82" s="141"/>
      <c r="I82" s="137" t="str">
        <f t="shared" si="5"/>
        <v/>
      </c>
    </row>
    <row r="83" spans="1:9">
      <c r="A83" s="140" t="s">
        <v>840</v>
      </c>
      <c r="B83" s="141">
        <v>42610</v>
      </c>
      <c r="C83" s="137" t="str">
        <f t="shared" si="3"/>
        <v>(일)</v>
      </c>
      <c r="D83" s="140"/>
      <c r="E83" s="141"/>
      <c r="F83" s="137" t="str">
        <f t="shared" si="4"/>
        <v/>
      </c>
      <c r="G83" s="140"/>
      <c r="H83" s="141"/>
      <c r="I83" s="137" t="str">
        <f t="shared" si="5"/>
        <v/>
      </c>
    </row>
    <row r="84" spans="1:9">
      <c r="A84" s="140" t="s">
        <v>842</v>
      </c>
      <c r="B84" s="141">
        <v>42616</v>
      </c>
      <c r="C84" s="137" t="str">
        <f t="shared" si="3"/>
        <v>(토)</v>
      </c>
      <c r="D84" s="140"/>
      <c r="E84" s="141"/>
      <c r="F84" s="137" t="str">
        <f t="shared" si="4"/>
        <v/>
      </c>
      <c r="G84" s="140"/>
      <c r="H84" s="141"/>
      <c r="I84" s="137" t="str">
        <f t="shared" si="5"/>
        <v/>
      </c>
    </row>
    <row r="85" spans="1:9">
      <c r="A85" s="140" t="s">
        <v>842</v>
      </c>
      <c r="B85" s="141">
        <v>42617</v>
      </c>
      <c r="C85" s="137" t="str">
        <f t="shared" si="3"/>
        <v>(일)</v>
      </c>
      <c r="D85" s="140"/>
      <c r="E85" s="141"/>
      <c r="F85" s="137" t="str">
        <f t="shared" si="4"/>
        <v/>
      </c>
      <c r="G85" s="140"/>
      <c r="H85" s="141"/>
      <c r="I85" s="137" t="str">
        <f t="shared" si="5"/>
        <v/>
      </c>
    </row>
    <row r="86" spans="1:9">
      <c r="A86" s="140" t="s">
        <v>842</v>
      </c>
      <c r="B86" s="141">
        <v>42623</v>
      </c>
      <c r="C86" s="137" t="str">
        <f t="shared" si="3"/>
        <v>(토)</v>
      </c>
      <c r="D86" s="140"/>
      <c r="E86" s="141"/>
      <c r="F86" s="137" t="str">
        <f t="shared" si="4"/>
        <v/>
      </c>
      <c r="G86" s="140"/>
      <c r="H86" s="141"/>
      <c r="I86" s="137" t="str">
        <f t="shared" si="5"/>
        <v/>
      </c>
    </row>
    <row r="87" spans="1:9">
      <c r="A87" s="140" t="s">
        <v>842</v>
      </c>
      <c r="B87" s="141">
        <v>42624</v>
      </c>
      <c r="C87" s="137" t="str">
        <f t="shared" si="3"/>
        <v>(일)</v>
      </c>
      <c r="D87" s="140"/>
      <c r="E87" s="141"/>
      <c r="F87" s="137" t="str">
        <f t="shared" si="4"/>
        <v/>
      </c>
      <c r="G87" s="140"/>
      <c r="H87" s="141"/>
      <c r="I87" s="137" t="str">
        <f t="shared" si="5"/>
        <v/>
      </c>
    </row>
    <row r="88" spans="1:9">
      <c r="A88" s="140" t="s">
        <v>843</v>
      </c>
      <c r="B88" s="141">
        <v>42627</v>
      </c>
      <c r="C88" s="137" t="str">
        <f t="shared" si="3"/>
        <v>(수)</v>
      </c>
      <c r="D88" s="140"/>
      <c r="E88" s="141"/>
      <c r="F88" s="137" t="str">
        <f t="shared" si="4"/>
        <v/>
      </c>
      <c r="G88" s="140"/>
      <c r="H88" s="141"/>
      <c r="I88" s="137" t="str">
        <f t="shared" si="5"/>
        <v/>
      </c>
    </row>
    <row r="89" spans="1:9">
      <c r="A89" s="140" t="s">
        <v>844</v>
      </c>
      <c r="B89" s="141">
        <v>42628</v>
      </c>
      <c r="C89" s="137" t="str">
        <f t="shared" si="3"/>
        <v>(목)</v>
      </c>
      <c r="D89" s="140"/>
      <c r="E89" s="141"/>
      <c r="F89" s="137" t="str">
        <f t="shared" si="4"/>
        <v/>
      </c>
      <c r="G89" s="140"/>
      <c r="H89" s="141"/>
      <c r="I89" s="137" t="str">
        <f t="shared" si="5"/>
        <v/>
      </c>
    </row>
    <row r="90" spans="1:9">
      <c r="A90" s="140" t="s">
        <v>843</v>
      </c>
      <c r="B90" s="141">
        <v>42629</v>
      </c>
      <c r="C90" s="137" t="str">
        <f t="shared" si="3"/>
        <v>(금)</v>
      </c>
      <c r="D90" s="140"/>
      <c r="E90" s="141"/>
      <c r="F90" s="137" t="str">
        <f t="shared" si="4"/>
        <v/>
      </c>
      <c r="G90" s="140"/>
      <c r="H90" s="141"/>
      <c r="I90" s="137" t="str">
        <f t="shared" si="5"/>
        <v/>
      </c>
    </row>
    <row r="91" spans="1:9">
      <c r="A91" s="140" t="s">
        <v>842</v>
      </c>
      <c r="B91" s="141">
        <v>42630</v>
      </c>
      <c r="C91" s="137" t="str">
        <f t="shared" si="3"/>
        <v>(토)</v>
      </c>
      <c r="D91" s="140"/>
      <c r="E91" s="141"/>
      <c r="F91" s="137" t="str">
        <f t="shared" si="4"/>
        <v/>
      </c>
      <c r="G91" s="140"/>
      <c r="H91" s="141"/>
      <c r="I91" s="137" t="str">
        <f t="shared" si="5"/>
        <v/>
      </c>
    </row>
    <row r="92" spans="1:9">
      <c r="A92" s="140" t="s">
        <v>842</v>
      </c>
      <c r="B92" s="141">
        <v>42631</v>
      </c>
      <c r="C92" s="137" t="str">
        <f t="shared" si="3"/>
        <v>(일)</v>
      </c>
      <c r="D92" s="140"/>
      <c r="E92" s="141"/>
      <c r="F92" s="137" t="str">
        <f t="shared" si="4"/>
        <v/>
      </c>
      <c r="G92" s="140"/>
      <c r="H92" s="141"/>
      <c r="I92" s="137" t="str">
        <f t="shared" si="5"/>
        <v/>
      </c>
    </row>
    <row r="93" spans="1:9">
      <c r="A93" s="140" t="s">
        <v>842</v>
      </c>
      <c r="B93" s="141">
        <v>42637</v>
      </c>
      <c r="C93" s="137" t="str">
        <f t="shared" si="3"/>
        <v>(토)</v>
      </c>
      <c r="D93" s="140"/>
      <c r="E93" s="141"/>
      <c r="F93" s="137" t="str">
        <f t="shared" si="4"/>
        <v/>
      </c>
      <c r="G93" s="140"/>
      <c r="H93" s="141"/>
      <c r="I93" s="137" t="str">
        <f t="shared" si="5"/>
        <v/>
      </c>
    </row>
    <row r="94" spans="1:9">
      <c r="A94" s="140" t="s">
        <v>842</v>
      </c>
      <c r="B94" s="141">
        <v>42638</v>
      </c>
      <c r="C94" s="137" t="str">
        <f t="shared" si="3"/>
        <v>(일)</v>
      </c>
      <c r="D94" s="140"/>
      <c r="E94" s="141"/>
      <c r="F94" s="137" t="str">
        <f t="shared" si="4"/>
        <v/>
      </c>
      <c r="G94" s="140"/>
      <c r="H94" s="141"/>
      <c r="I94" s="137" t="str">
        <f t="shared" si="5"/>
        <v/>
      </c>
    </row>
    <row r="95" spans="1:9">
      <c r="A95" s="140" t="s">
        <v>845</v>
      </c>
      <c r="B95" s="141">
        <v>42644</v>
      </c>
      <c r="C95" s="137" t="str">
        <f t="shared" si="3"/>
        <v>(토)</v>
      </c>
      <c r="D95" s="140"/>
      <c r="E95" s="141"/>
      <c r="F95" s="137" t="str">
        <f t="shared" si="4"/>
        <v/>
      </c>
      <c r="G95" s="140"/>
      <c r="H95" s="141"/>
      <c r="I95" s="137" t="str">
        <f t="shared" si="5"/>
        <v/>
      </c>
    </row>
    <row r="96" spans="1:9">
      <c r="A96" s="140" t="s">
        <v>845</v>
      </c>
      <c r="B96" s="141">
        <v>42645</v>
      </c>
      <c r="C96" s="137" t="str">
        <f t="shared" si="3"/>
        <v>(일)</v>
      </c>
      <c r="D96" s="140"/>
      <c r="E96" s="141"/>
      <c r="F96" s="137" t="str">
        <f t="shared" si="4"/>
        <v/>
      </c>
      <c r="G96" s="140"/>
      <c r="H96" s="141"/>
      <c r="I96" s="137" t="str">
        <f t="shared" si="5"/>
        <v/>
      </c>
    </row>
    <row r="97" spans="1:9">
      <c r="A97" s="140" t="s">
        <v>846</v>
      </c>
      <c r="B97" s="141">
        <v>42646</v>
      </c>
      <c r="C97" s="137" t="str">
        <f t="shared" si="3"/>
        <v>(월)</v>
      </c>
      <c r="D97" s="140"/>
      <c r="E97" s="141"/>
      <c r="F97" s="137" t="str">
        <f t="shared" si="4"/>
        <v/>
      </c>
      <c r="G97" s="140"/>
      <c r="H97" s="141"/>
      <c r="I97" s="137" t="str">
        <f t="shared" si="5"/>
        <v/>
      </c>
    </row>
    <row r="98" spans="1:9">
      <c r="A98" s="140" t="s">
        <v>845</v>
      </c>
      <c r="B98" s="141">
        <v>42651</v>
      </c>
      <c r="C98" s="137" t="str">
        <f t="shared" si="3"/>
        <v>(토)</v>
      </c>
      <c r="D98" s="140"/>
      <c r="E98" s="141"/>
      <c r="F98" s="137" t="str">
        <f t="shared" si="4"/>
        <v/>
      </c>
      <c r="G98" s="140"/>
      <c r="H98" s="141"/>
      <c r="I98" s="137" t="str">
        <f t="shared" si="5"/>
        <v/>
      </c>
    </row>
    <row r="99" spans="1:9">
      <c r="A99" s="140" t="s">
        <v>847</v>
      </c>
      <c r="B99" s="141">
        <v>42652</v>
      </c>
      <c r="C99" s="137" t="str">
        <f t="shared" si="3"/>
        <v>(일)</v>
      </c>
      <c r="D99" s="140"/>
      <c r="E99" s="141"/>
      <c r="F99" s="137" t="str">
        <f t="shared" si="4"/>
        <v/>
      </c>
      <c r="G99" s="140"/>
      <c r="H99" s="141"/>
      <c r="I99" s="137" t="str">
        <f t="shared" si="5"/>
        <v/>
      </c>
    </row>
    <row r="100" spans="1:9">
      <c r="A100" s="140" t="s">
        <v>845</v>
      </c>
      <c r="B100" s="141">
        <v>42658</v>
      </c>
      <c r="C100" s="137" t="str">
        <f t="shared" si="3"/>
        <v>(토)</v>
      </c>
      <c r="D100" s="140"/>
      <c r="E100" s="141"/>
      <c r="F100" s="137" t="str">
        <f t="shared" si="4"/>
        <v/>
      </c>
      <c r="G100" s="140"/>
      <c r="H100" s="141"/>
      <c r="I100" s="137" t="str">
        <f t="shared" si="5"/>
        <v/>
      </c>
    </row>
    <row r="101" spans="1:9">
      <c r="A101" s="140" t="s">
        <v>845</v>
      </c>
      <c r="B101" s="141">
        <v>42659</v>
      </c>
      <c r="C101" s="137" t="str">
        <f t="shared" si="3"/>
        <v>(일)</v>
      </c>
      <c r="D101" s="140"/>
      <c r="E101" s="141"/>
      <c r="F101" s="137" t="str">
        <f t="shared" si="4"/>
        <v/>
      </c>
      <c r="G101" s="140"/>
      <c r="H101" s="141"/>
      <c r="I101" s="137" t="str">
        <f t="shared" si="5"/>
        <v/>
      </c>
    </row>
    <row r="102" spans="1:9">
      <c r="A102" s="140" t="s">
        <v>845</v>
      </c>
      <c r="B102" s="141">
        <v>42665</v>
      </c>
      <c r="C102" s="137" t="str">
        <f t="shared" si="3"/>
        <v>(토)</v>
      </c>
      <c r="D102" s="140"/>
      <c r="E102" s="141"/>
      <c r="F102" s="137" t="str">
        <f t="shared" si="4"/>
        <v/>
      </c>
      <c r="G102" s="140"/>
      <c r="H102" s="141"/>
      <c r="I102" s="137" t="str">
        <f t="shared" si="5"/>
        <v/>
      </c>
    </row>
    <row r="103" spans="1:9">
      <c r="A103" s="140" t="s">
        <v>845</v>
      </c>
      <c r="B103" s="141">
        <v>42666</v>
      </c>
      <c r="C103" s="137" t="str">
        <f t="shared" si="3"/>
        <v>(일)</v>
      </c>
      <c r="D103" s="140"/>
      <c r="E103" s="141"/>
      <c r="F103" s="137" t="str">
        <f t="shared" si="4"/>
        <v/>
      </c>
      <c r="G103" s="140"/>
      <c r="H103" s="141"/>
      <c r="I103" s="137" t="str">
        <f t="shared" si="5"/>
        <v/>
      </c>
    </row>
    <row r="104" spans="1:9">
      <c r="A104" s="140" t="s">
        <v>845</v>
      </c>
      <c r="B104" s="141">
        <v>42672</v>
      </c>
      <c r="C104" s="137" t="str">
        <f t="shared" si="3"/>
        <v>(토)</v>
      </c>
      <c r="D104" s="140"/>
      <c r="E104" s="141"/>
      <c r="F104" s="137" t="str">
        <f t="shared" si="4"/>
        <v/>
      </c>
      <c r="G104" s="140"/>
      <c r="H104" s="141"/>
      <c r="I104" s="137" t="str">
        <f t="shared" si="5"/>
        <v/>
      </c>
    </row>
    <row r="105" spans="1:9">
      <c r="A105" s="140" t="s">
        <v>845</v>
      </c>
      <c r="B105" s="141">
        <v>42673</v>
      </c>
      <c r="C105" s="137" t="str">
        <f t="shared" si="3"/>
        <v>(일)</v>
      </c>
      <c r="D105" s="140"/>
      <c r="E105" s="141"/>
      <c r="F105" s="137" t="str">
        <f t="shared" si="4"/>
        <v/>
      </c>
      <c r="G105" s="140"/>
      <c r="H105" s="141"/>
      <c r="I105" s="137" t="str">
        <f t="shared" si="5"/>
        <v/>
      </c>
    </row>
    <row r="106" spans="1:9">
      <c r="A106" s="140" t="s">
        <v>848</v>
      </c>
      <c r="B106" s="141">
        <v>42679</v>
      </c>
      <c r="C106" s="137" t="str">
        <f t="shared" si="3"/>
        <v>(토)</v>
      </c>
      <c r="D106" s="140"/>
      <c r="E106" s="141"/>
      <c r="F106" s="137" t="str">
        <f t="shared" si="4"/>
        <v/>
      </c>
      <c r="G106" s="140"/>
      <c r="H106" s="141"/>
      <c r="I106" s="137" t="str">
        <f t="shared" si="5"/>
        <v/>
      </c>
    </row>
    <row r="107" spans="1:9">
      <c r="A107" s="140" t="s">
        <v>848</v>
      </c>
      <c r="B107" s="141">
        <v>42680</v>
      </c>
      <c r="C107" s="137" t="str">
        <f t="shared" si="3"/>
        <v>(일)</v>
      </c>
      <c r="D107" s="140"/>
      <c r="E107" s="141"/>
      <c r="F107" s="137" t="str">
        <f t="shared" si="4"/>
        <v/>
      </c>
      <c r="G107" s="140"/>
      <c r="H107" s="141"/>
      <c r="I107" s="137" t="str">
        <f t="shared" si="5"/>
        <v/>
      </c>
    </row>
    <row r="108" spans="1:9">
      <c r="A108" s="140" t="s">
        <v>848</v>
      </c>
      <c r="B108" s="141">
        <v>42686</v>
      </c>
      <c r="C108" s="137" t="str">
        <f t="shared" si="3"/>
        <v>(토)</v>
      </c>
      <c r="D108" s="140"/>
      <c r="E108" s="141"/>
      <c r="F108" s="137" t="str">
        <f t="shared" si="4"/>
        <v/>
      </c>
      <c r="G108" s="140"/>
      <c r="H108" s="141"/>
      <c r="I108" s="137" t="str">
        <f t="shared" si="5"/>
        <v/>
      </c>
    </row>
    <row r="109" spans="1:9">
      <c r="A109" s="140" t="s">
        <v>848</v>
      </c>
      <c r="B109" s="141">
        <v>42687</v>
      </c>
      <c r="C109" s="137" t="str">
        <f t="shared" si="3"/>
        <v>(일)</v>
      </c>
      <c r="D109" s="140"/>
      <c r="E109" s="141"/>
      <c r="F109" s="137" t="str">
        <f t="shared" si="4"/>
        <v/>
      </c>
      <c r="G109" s="140"/>
      <c r="H109" s="141"/>
      <c r="I109" s="137" t="str">
        <f t="shared" si="5"/>
        <v/>
      </c>
    </row>
    <row r="110" spans="1:9">
      <c r="A110" s="140" t="s">
        <v>848</v>
      </c>
      <c r="B110" s="141">
        <v>42693</v>
      </c>
      <c r="C110" s="137" t="str">
        <f t="shared" si="3"/>
        <v>(토)</v>
      </c>
      <c r="D110" s="140"/>
      <c r="E110" s="141"/>
      <c r="F110" s="137" t="str">
        <f t="shared" si="4"/>
        <v/>
      </c>
      <c r="G110" s="140"/>
      <c r="H110" s="141"/>
      <c r="I110" s="137" t="str">
        <f t="shared" si="5"/>
        <v/>
      </c>
    </row>
    <row r="111" spans="1:9">
      <c r="A111" s="140" t="s">
        <v>848</v>
      </c>
      <c r="B111" s="141">
        <v>42694</v>
      </c>
      <c r="C111" s="137" t="str">
        <f t="shared" si="3"/>
        <v>(일)</v>
      </c>
      <c r="D111" s="140"/>
      <c r="E111" s="141"/>
      <c r="F111" s="137" t="str">
        <f t="shared" si="4"/>
        <v/>
      </c>
      <c r="G111" s="140"/>
      <c r="H111" s="141"/>
      <c r="I111" s="137" t="str">
        <f t="shared" si="5"/>
        <v/>
      </c>
    </row>
    <row r="112" spans="1:9">
      <c r="A112" s="140" t="s">
        <v>848</v>
      </c>
      <c r="B112" s="141">
        <v>42700</v>
      </c>
      <c r="C112" s="137" t="str">
        <f t="shared" si="3"/>
        <v>(토)</v>
      </c>
      <c r="D112" s="140"/>
      <c r="E112" s="141"/>
      <c r="F112" s="137" t="str">
        <f t="shared" si="4"/>
        <v/>
      </c>
      <c r="G112" s="140"/>
      <c r="H112" s="141"/>
      <c r="I112" s="137" t="str">
        <f t="shared" si="5"/>
        <v/>
      </c>
    </row>
    <row r="113" spans="1:9">
      <c r="A113" s="140" t="s">
        <v>848</v>
      </c>
      <c r="B113" s="141">
        <v>42701</v>
      </c>
      <c r="C113" s="137" t="str">
        <f t="shared" si="3"/>
        <v>(일)</v>
      </c>
      <c r="D113" s="140"/>
      <c r="E113" s="141"/>
      <c r="F113" s="137" t="str">
        <f t="shared" si="4"/>
        <v/>
      </c>
      <c r="G113" s="140"/>
      <c r="H113" s="141"/>
      <c r="I113" s="137" t="str">
        <f t="shared" si="5"/>
        <v/>
      </c>
    </row>
    <row r="114" spans="1:9">
      <c r="A114" s="140" t="s">
        <v>849</v>
      </c>
      <c r="B114" s="141">
        <v>42707</v>
      </c>
      <c r="C114" s="137" t="str">
        <f t="shared" si="3"/>
        <v>(토)</v>
      </c>
      <c r="D114" s="140"/>
      <c r="E114" s="141"/>
      <c r="F114" s="137" t="str">
        <f t="shared" si="4"/>
        <v/>
      </c>
      <c r="G114" s="140"/>
      <c r="H114" s="141"/>
      <c r="I114" s="137" t="str">
        <f t="shared" si="5"/>
        <v/>
      </c>
    </row>
    <row r="115" spans="1:9">
      <c r="A115" s="140" t="s">
        <v>849</v>
      </c>
      <c r="B115" s="141">
        <v>42708</v>
      </c>
      <c r="C115" s="137" t="str">
        <f t="shared" si="3"/>
        <v>(일)</v>
      </c>
      <c r="D115" s="140"/>
      <c r="E115" s="141"/>
      <c r="F115" s="137" t="str">
        <f t="shared" si="4"/>
        <v/>
      </c>
      <c r="G115" s="140"/>
      <c r="H115" s="141"/>
      <c r="I115" s="137" t="str">
        <f t="shared" si="5"/>
        <v/>
      </c>
    </row>
    <row r="116" spans="1:9">
      <c r="A116" s="140" t="s">
        <v>849</v>
      </c>
      <c r="B116" s="141">
        <v>42714</v>
      </c>
      <c r="C116" s="137" t="str">
        <f t="shared" si="3"/>
        <v>(토)</v>
      </c>
      <c r="D116" s="140"/>
      <c r="E116" s="141"/>
      <c r="F116" s="137" t="str">
        <f t="shared" si="4"/>
        <v/>
      </c>
      <c r="G116" s="140"/>
      <c r="H116" s="141"/>
      <c r="I116" s="137" t="str">
        <f t="shared" si="5"/>
        <v/>
      </c>
    </row>
    <row r="117" spans="1:9">
      <c r="A117" s="140" t="s">
        <v>849</v>
      </c>
      <c r="B117" s="141">
        <v>42715</v>
      </c>
      <c r="C117" s="137" t="str">
        <f t="shared" si="3"/>
        <v>(일)</v>
      </c>
      <c r="D117" s="140"/>
      <c r="E117" s="141"/>
      <c r="F117" s="137" t="str">
        <f t="shared" si="4"/>
        <v/>
      </c>
      <c r="G117" s="140"/>
      <c r="H117" s="141"/>
      <c r="I117" s="137" t="str">
        <f t="shared" si="5"/>
        <v/>
      </c>
    </row>
    <row r="118" spans="1:9">
      <c r="A118" s="140" t="s">
        <v>849</v>
      </c>
      <c r="B118" s="141">
        <v>42721</v>
      </c>
      <c r="C118" s="137" t="str">
        <f t="shared" si="3"/>
        <v>(토)</v>
      </c>
      <c r="D118" s="140"/>
      <c r="E118" s="141"/>
      <c r="F118" s="137" t="str">
        <f t="shared" si="4"/>
        <v/>
      </c>
      <c r="G118" s="140"/>
      <c r="H118" s="141"/>
      <c r="I118" s="137" t="str">
        <f t="shared" si="5"/>
        <v/>
      </c>
    </row>
    <row r="119" spans="1:9">
      <c r="A119" s="140" t="s">
        <v>849</v>
      </c>
      <c r="B119" s="141">
        <v>42722</v>
      </c>
      <c r="C119" s="137" t="str">
        <f t="shared" si="3"/>
        <v>(일)</v>
      </c>
      <c r="D119" s="140"/>
      <c r="E119" s="141"/>
      <c r="F119" s="137" t="str">
        <f t="shared" si="4"/>
        <v/>
      </c>
      <c r="G119" s="140"/>
      <c r="H119" s="141"/>
      <c r="I119" s="137" t="str">
        <f t="shared" si="5"/>
        <v/>
      </c>
    </row>
    <row r="120" spans="1:9">
      <c r="A120" s="140" t="s">
        <v>849</v>
      </c>
      <c r="B120" s="141">
        <v>42728</v>
      </c>
      <c r="C120" s="137" t="str">
        <f t="shared" si="3"/>
        <v>(토)</v>
      </c>
      <c r="D120" s="140"/>
      <c r="E120" s="141"/>
      <c r="F120" s="137" t="str">
        <f t="shared" si="4"/>
        <v/>
      </c>
      <c r="G120" s="140"/>
      <c r="H120" s="141"/>
      <c r="I120" s="137" t="str">
        <f t="shared" si="5"/>
        <v/>
      </c>
    </row>
    <row r="121" spans="1:9">
      <c r="A121" s="140" t="s">
        <v>850</v>
      </c>
      <c r="B121" s="141">
        <v>42729</v>
      </c>
      <c r="C121" s="137" t="str">
        <f t="shared" si="3"/>
        <v>(일)</v>
      </c>
      <c r="D121" s="140"/>
      <c r="E121" s="141"/>
      <c r="F121" s="137" t="str">
        <f t="shared" si="4"/>
        <v/>
      </c>
      <c r="G121" s="140"/>
      <c r="H121" s="141"/>
      <c r="I121" s="137" t="str">
        <f t="shared" si="5"/>
        <v/>
      </c>
    </row>
    <row r="122" spans="1:9">
      <c r="A122" s="140" t="s">
        <v>849</v>
      </c>
      <c r="B122" s="141">
        <v>42735</v>
      </c>
      <c r="C122" s="137" t="str">
        <f t="shared" si="3"/>
        <v>(토)</v>
      </c>
      <c r="D122" s="140"/>
      <c r="E122" s="141"/>
      <c r="F122" s="137" t="str">
        <f t="shared" si="4"/>
        <v/>
      </c>
      <c r="G122" s="140"/>
      <c r="H122" s="141"/>
      <c r="I122" s="137" t="str">
        <f t="shared" si="5"/>
        <v/>
      </c>
    </row>
    <row r="123" spans="1:9">
      <c r="A123" s="140" t="s">
        <v>1000</v>
      </c>
      <c r="B123" s="141">
        <v>42736</v>
      </c>
      <c r="C123" s="137" t="str">
        <f t="shared" si="3"/>
        <v>(일)</v>
      </c>
      <c r="D123" s="140"/>
      <c r="E123" s="141"/>
      <c r="F123" s="137" t="str">
        <f t="shared" si="4"/>
        <v/>
      </c>
      <c r="G123" s="140"/>
      <c r="H123" s="141"/>
      <c r="I123" s="137" t="str">
        <f t="shared" si="5"/>
        <v/>
      </c>
    </row>
    <row r="124" spans="1:9">
      <c r="A124" s="140" t="s">
        <v>1001</v>
      </c>
      <c r="B124" s="141">
        <v>42742</v>
      </c>
      <c r="C124" s="137" t="str">
        <f t="shared" si="3"/>
        <v>(토)</v>
      </c>
      <c r="D124" s="140"/>
      <c r="E124" s="141"/>
      <c r="F124" s="137" t="str">
        <f t="shared" si="4"/>
        <v/>
      </c>
      <c r="G124" s="140"/>
      <c r="H124" s="141"/>
      <c r="I124" s="137" t="str">
        <f t="shared" si="5"/>
        <v/>
      </c>
    </row>
    <row r="125" spans="1:9">
      <c r="A125" s="140" t="s">
        <v>1001</v>
      </c>
      <c r="B125" s="141">
        <v>42743</v>
      </c>
      <c r="C125" s="137" t="str">
        <f t="shared" si="3"/>
        <v>(일)</v>
      </c>
      <c r="D125" s="140"/>
      <c r="E125" s="141"/>
      <c r="F125" s="137" t="str">
        <f t="shared" si="4"/>
        <v/>
      </c>
      <c r="G125" s="140"/>
      <c r="H125" s="141"/>
      <c r="I125" s="137" t="str">
        <f t="shared" si="5"/>
        <v/>
      </c>
    </row>
    <row r="126" spans="1:9">
      <c r="A126" s="140" t="s">
        <v>1001</v>
      </c>
      <c r="B126" s="141">
        <v>42749</v>
      </c>
      <c r="C126" s="137" t="str">
        <f t="shared" si="3"/>
        <v>(토)</v>
      </c>
      <c r="D126" s="140"/>
      <c r="E126" s="141"/>
      <c r="F126" s="137" t="str">
        <f t="shared" si="4"/>
        <v/>
      </c>
      <c r="G126" s="140"/>
      <c r="H126" s="141"/>
      <c r="I126" s="137" t="str">
        <f t="shared" si="5"/>
        <v/>
      </c>
    </row>
    <row r="127" spans="1:9">
      <c r="A127" s="140" t="s">
        <v>1001</v>
      </c>
      <c r="B127" s="141">
        <v>42750</v>
      </c>
      <c r="C127" s="137" t="str">
        <f t="shared" si="3"/>
        <v>(일)</v>
      </c>
      <c r="D127" s="140"/>
      <c r="E127" s="141"/>
      <c r="F127" s="137" t="str">
        <f t="shared" si="4"/>
        <v/>
      </c>
      <c r="G127" s="140"/>
      <c r="H127" s="141"/>
      <c r="I127" s="137" t="str">
        <f t="shared" si="5"/>
        <v/>
      </c>
    </row>
    <row r="128" spans="1:9">
      <c r="A128" s="140" t="s">
        <v>1001</v>
      </c>
      <c r="B128" s="141">
        <v>42756</v>
      </c>
      <c r="C128" s="137" t="str">
        <f t="shared" si="3"/>
        <v>(토)</v>
      </c>
      <c r="D128" s="140"/>
      <c r="E128" s="141"/>
      <c r="F128" s="137" t="str">
        <f t="shared" si="4"/>
        <v/>
      </c>
      <c r="G128" s="140"/>
      <c r="H128" s="141"/>
      <c r="I128" s="137" t="str">
        <f t="shared" si="5"/>
        <v/>
      </c>
    </row>
    <row r="129" spans="1:9">
      <c r="A129" s="140" t="s">
        <v>1001</v>
      </c>
      <c r="B129" s="141">
        <v>42757</v>
      </c>
      <c r="C129" s="137" t="str">
        <f t="shared" si="3"/>
        <v>(일)</v>
      </c>
      <c r="D129" s="140"/>
      <c r="E129" s="141"/>
      <c r="F129" s="137" t="str">
        <f t="shared" si="4"/>
        <v/>
      </c>
      <c r="G129" s="140"/>
      <c r="H129" s="141"/>
      <c r="I129" s="137" t="str">
        <f t="shared" si="5"/>
        <v/>
      </c>
    </row>
    <row r="130" spans="1:9">
      <c r="A130" s="140" t="s">
        <v>1002</v>
      </c>
      <c r="B130" s="141">
        <v>42762</v>
      </c>
      <c r="C130" s="137" t="str">
        <f t="shared" si="3"/>
        <v>(금)</v>
      </c>
      <c r="D130" s="140"/>
      <c r="E130" s="141"/>
      <c r="F130" s="137" t="str">
        <f t="shared" si="4"/>
        <v/>
      </c>
      <c r="G130" s="140"/>
      <c r="H130" s="141"/>
      <c r="I130" s="137" t="str">
        <f t="shared" si="5"/>
        <v/>
      </c>
    </row>
    <row r="131" spans="1:9">
      <c r="A131" s="140" t="s">
        <v>1003</v>
      </c>
      <c r="B131" s="141">
        <v>42763</v>
      </c>
      <c r="C131" s="137" t="str">
        <f t="shared" si="3"/>
        <v>(토)</v>
      </c>
      <c r="D131" s="140"/>
      <c r="E131" s="141"/>
      <c r="F131" s="137" t="str">
        <f t="shared" si="4"/>
        <v/>
      </c>
      <c r="G131" s="140"/>
      <c r="H131" s="141"/>
      <c r="I131" s="137" t="str">
        <f t="shared" si="5"/>
        <v/>
      </c>
    </row>
    <row r="132" spans="1:9">
      <c r="A132" s="140" t="s">
        <v>1001</v>
      </c>
      <c r="B132" s="141">
        <v>42764</v>
      </c>
      <c r="C132" s="137" t="str">
        <f t="shared" si="3"/>
        <v>(일)</v>
      </c>
      <c r="D132" s="140"/>
      <c r="E132" s="141"/>
      <c r="F132" s="137" t="str">
        <f t="shared" si="4"/>
        <v/>
      </c>
      <c r="G132" s="140"/>
      <c r="H132" s="141"/>
      <c r="I132" s="137" t="str">
        <f t="shared" si="5"/>
        <v/>
      </c>
    </row>
    <row r="133" spans="1:9">
      <c r="A133" s="140" t="s">
        <v>1004</v>
      </c>
      <c r="B133" s="141">
        <v>42765</v>
      </c>
      <c r="C133" s="137" t="str">
        <f t="shared" ref="C133:C196" si="6">IF(B133&gt;0,TEXT(B133,"(aaa)"),"")</f>
        <v>(월)</v>
      </c>
      <c r="D133" s="140"/>
      <c r="E133" s="141"/>
      <c r="F133" s="137" t="str">
        <f t="shared" ref="F133:F196" si="7">IF(E133&gt;0,TEXT(E133,"(aaa)"),"")</f>
        <v/>
      </c>
      <c r="G133" s="140"/>
      <c r="H133" s="141"/>
      <c r="I133" s="137" t="str">
        <f t="shared" ref="I133:I196" si="8">IF(H133&gt;0,TEXT(H133,"(aaa)"),"")</f>
        <v/>
      </c>
    </row>
    <row r="134" spans="1:9">
      <c r="A134" s="140" t="s">
        <v>1005</v>
      </c>
      <c r="B134" s="141">
        <v>42770</v>
      </c>
      <c r="C134" s="137" t="str">
        <f t="shared" si="6"/>
        <v>(토)</v>
      </c>
      <c r="D134" s="140"/>
      <c r="E134" s="141"/>
      <c r="F134" s="137" t="str">
        <f t="shared" si="7"/>
        <v/>
      </c>
      <c r="G134" s="140"/>
      <c r="H134" s="141"/>
      <c r="I134" s="137" t="str">
        <f t="shared" si="8"/>
        <v/>
      </c>
    </row>
    <row r="135" spans="1:9">
      <c r="A135" s="140" t="s">
        <v>1005</v>
      </c>
      <c r="B135" s="141">
        <v>42771</v>
      </c>
      <c r="C135" s="137" t="str">
        <f t="shared" si="6"/>
        <v>(일)</v>
      </c>
      <c r="D135" s="140"/>
      <c r="E135" s="141"/>
      <c r="F135" s="137" t="str">
        <f t="shared" si="7"/>
        <v/>
      </c>
      <c r="G135" s="140"/>
      <c r="H135" s="141"/>
      <c r="I135" s="137" t="str">
        <f t="shared" si="8"/>
        <v/>
      </c>
    </row>
    <row r="136" spans="1:9">
      <c r="A136" s="140" t="s">
        <v>1005</v>
      </c>
      <c r="B136" s="141">
        <v>42777</v>
      </c>
      <c r="C136" s="137" t="str">
        <f t="shared" si="6"/>
        <v>(토)</v>
      </c>
      <c r="D136" s="140"/>
      <c r="E136" s="141"/>
      <c r="F136" s="137" t="str">
        <f t="shared" si="7"/>
        <v/>
      </c>
      <c r="G136" s="140"/>
      <c r="H136" s="141"/>
      <c r="I136" s="137" t="str">
        <f t="shared" si="8"/>
        <v/>
      </c>
    </row>
    <row r="137" spans="1:9">
      <c r="A137" s="140" t="s">
        <v>1005</v>
      </c>
      <c r="B137" s="141">
        <v>42778</v>
      </c>
      <c r="C137" s="137" t="str">
        <f t="shared" si="6"/>
        <v>(일)</v>
      </c>
      <c r="D137" s="140"/>
      <c r="E137" s="141"/>
      <c r="F137" s="137" t="str">
        <f t="shared" si="7"/>
        <v/>
      </c>
      <c r="G137" s="140"/>
      <c r="H137" s="141"/>
      <c r="I137" s="137" t="str">
        <f t="shared" si="8"/>
        <v/>
      </c>
    </row>
    <row r="138" spans="1:9">
      <c r="A138" s="140" t="s">
        <v>1005</v>
      </c>
      <c r="B138" s="141">
        <v>42784</v>
      </c>
      <c r="C138" s="137" t="str">
        <f t="shared" si="6"/>
        <v>(토)</v>
      </c>
      <c r="D138" s="140"/>
      <c r="E138" s="141"/>
      <c r="F138" s="137" t="str">
        <f t="shared" si="7"/>
        <v/>
      </c>
      <c r="G138" s="140"/>
      <c r="H138" s="141"/>
      <c r="I138" s="137" t="str">
        <f t="shared" si="8"/>
        <v/>
      </c>
    </row>
    <row r="139" spans="1:9">
      <c r="A139" s="140" t="s">
        <v>1005</v>
      </c>
      <c r="B139" s="141">
        <v>42785</v>
      </c>
      <c r="C139" s="137" t="str">
        <f t="shared" si="6"/>
        <v>(일)</v>
      </c>
      <c r="D139" s="140"/>
      <c r="E139" s="141"/>
      <c r="F139" s="137" t="str">
        <f t="shared" si="7"/>
        <v/>
      </c>
      <c r="G139" s="140"/>
      <c r="H139" s="141"/>
      <c r="I139" s="137" t="str">
        <f t="shared" si="8"/>
        <v/>
      </c>
    </row>
    <row r="140" spans="1:9">
      <c r="A140" s="140" t="s">
        <v>1005</v>
      </c>
      <c r="B140" s="141">
        <v>42791</v>
      </c>
      <c r="C140" s="137" t="str">
        <f t="shared" si="6"/>
        <v>(토)</v>
      </c>
      <c r="D140" s="140"/>
      <c r="E140" s="141"/>
      <c r="F140" s="137" t="str">
        <f t="shared" si="7"/>
        <v/>
      </c>
      <c r="G140" s="140"/>
      <c r="H140" s="141"/>
      <c r="I140" s="137" t="str">
        <f t="shared" si="8"/>
        <v/>
      </c>
    </row>
    <row r="141" spans="1:9">
      <c r="A141" s="140" t="s">
        <v>1005</v>
      </c>
      <c r="B141" s="141">
        <v>42792</v>
      </c>
      <c r="C141" s="137" t="str">
        <f t="shared" si="6"/>
        <v>(일)</v>
      </c>
      <c r="D141" s="140"/>
      <c r="E141" s="141"/>
      <c r="F141" s="137" t="str">
        <f t="shared" si="7"/>
        <v/>
      </c>
      <c r="G141" s="140"/>
      <c r="H141" s="141"/>
      <c r="I141" s="137" t="str">
        <f t="shared" si="8"/>
        <v/>
      </c>
    </row>
    <row r="142" spans="1:9">
      <c r="A142" s="140" t="s">
        <v>1006</v>
      </c>
      <c r="B142" s="141">
        <v>42795</v>
      </c>
      <c r="C142" s="137" t="str">
        <f t="shared" si="6"/>
        <v>(수)</v>
      </c>
      <c r="D142" s="140"/>
      <c r="E142" s="141"/>
      <c r="F142" s="137" t="str">
        <f t="shared" si="7"/>
        <v/>
      </c>
      <c r="G142" s="140"/>
      <c r="H142" s="141"/>
      <c r="I142" s="137" t="str">
        <f t="shared" si="8"/>
        <v/>
      </c>
    </row>
    <row r="143" spans="1:9">
      <c r="A143" s="140" t="s">
        <v>1007</v>
      </c>
      <c r="B143" s="141">
        <v>42798</v>
      </c>
      <c r="C143" s="137" t="str">
        <f t="shared" si="6"/>
        <v>(토)</v>
      </c>
      <c r="D143" s="140"/>
      <c r="E143" s="141"/>
      <c r="F143" s="137" t="str">
        <f t="shared" si="7"/>
        <v/>
      </c>
      <c r="G143" s="140"/>
      <c r="H143" s="141"/>
      <c r="I143" s="137" t="str">
        <f t="shared" si="8"/>
        <v/>
      </c>
    </row>
    <row r="144" spans="1:9">
      <c r="A144" s="140" t="s">
        <v>1007</v>
      </c>
      <c r="B144" s="141">
        <v>42799</v>
      </c>
      <c r="C144" s="137" t="str">
        <f t="shared" si="6"/>
        <v>(일)</v>
      </c>
      <c r="D144" s="140"/>
      <c r="E144" s="141"/>
      <c r="F144" s="137" t="str">
        <f t="shared" si="7"/>
        <v/>
      </c>
      <c r="G144" s="140"/>
      <c r="H144" s="141"/>
      <c r="I144" s="137" t="str">
        <f t="shared" si="8"/>
        <v/>
      </c>
    </row>
    <row r="145" spans="1:9">
      <c r="A145" s="140" t="s">
        <v>1007</v>
      </c>
      <c r="B145" s="141">
        <v>42805</v>
      </c>
      <c r="C145" s="137" t="str">
        <f t="shared" si="6"/>
        <v>(토)</v>
      </c>
      <c r="D145" s="140"/>
      <c r="E145" s="141"/>
      <c r="F145" s="137" t="str">
        <f t="shared" si="7"/>
        <v/>
      </c>
      <c r="G145" s="140"/>
      <c r="H145" s="141"/>
      <c r="I145" s="137" t="str">
        <f t="shared" si="8"/>
        <v/>
      </c>
    </row>
    <row r="146" spans="1:9">
      <c r="A146" s="140" t="s">
        <v>1007</v>
      </c>
      <c r="B146" s="141">
        <v>42806</v>
      </c>
      <c r="C146" s="137" t="str">
        <f t="shared" si="6"/>
        <v>(일)</v>
      </c>
      <c r="D146" s="140"/>
      <c r="E146" s="141"/>
      <c r="F146" s="137" t="str">
        <f t="shared" si="7"/>
        <v/>
      </c>
      <c r="G146" s="140"/>
      <c r="H146" s="141"/>
      <c r="I146" s="137" t="str">
        <f t="shared" si="8"/>
        <v/>
      </c>
    </row>
    <row r="147" spans="1:9">
      <c r="A147" s="140" t="s">
        <v>1007</v>
      </c>
      <c r="B147" s="141">
        <v>42812</v>
      </c>
      <c r="C147" s="137" t="str">
        <f t="shared" si="6"/>
        <v>(토)</v>
      </c>
      <c r="D147" s="140"/>
      <c r="E147" s="141"/>
      <c r="F147" s="137" t="str">
        <f t="shared" si="7"/>
        <v/>
      </c>
      <c r="G147" s="140"/>
      <c r="H147" s="141"/>
      <c r="I147" s="137" t="str">
        <f t="shared" si="8"/>
        <v/>
      </c>
    </row>
    <row r="148" spans="1:9">
      <c r="A148" s="140" t="s">
        <v>1007</v>
      </c>
      <c r="B148" s="141">
        <v>42813</v>
      </c>
      <c r="C148" s="137" t="str">
        <f t="shared" si="6"/>
        <v>(일)</v>
      </c>
      <c r="D148" s="140"/>
      <c r="E148" s="141"/>
      <c r="F148" s="137" t="str">
        <f t="shared" si="7"/>
        <v/>
      </c>
      <c r="G148" s="140"/>
      <c r="H148" s="141"/>
      <c r="I148" s="137" t="str">
        <f t="shared" si="8"/>
        <v/>
      </c>
    </row>
    <row r="149" spans="1:9">
      <c r="A149" s="140" t="s">
        <v>1007</v>
      </c>
      <c r="B149" s="141">
        <v>42819</v>
      </c>
      <c r="C149" s="137" t="str">
        <f t="shared" si="6"/>
        <v>(토)</v>
      </c>
      <c r="D149" s="140"/>
      <c r="E149" s="141"/>
      <c r="F149" s="137" t="str">
        <f t="shared" si="7"/>
        <v/>
      </c>
      <c r="G149" s="140"/>
      <c r="H149" s="141"/>
      <c r="I149" s="137" t="str">
        <f t="shared" si="8"/>
        <v/>
      </c>
    </row>
    <row r="150" spans="1:9">
      <c r="A150" s="140" t="s">
        <v>1007</v>
      </c>
      <c r="B150" s="141">
        <v>42820</v>
      </c>
      <c r="C150" s="137" t="str">
        <f t="shared" si="6"/>
        <v>(일)</v>
      </c>
      <c r="D150" s="140"/>
      <c r="E150" s="141"/>
      <c r="F150" s="137" t="str">
        <f t="shared" si="7"/>
        <v/>
      </c>
      <c r="G150" s="140"/>
      <c r="H150" s="141"/>
      <c r="I150" s="137" t="str">
        <f t="shared" si="8"/>
        <v/>
      </c>
    </row>
    <row r="151" spans="1:9">
      <c r="A151" s="140" t="s">
        <v>1008</v>
      </c>
      <c r="B151" s="141">
        <v>42826</v>
      </c>
      <c r="C151" s="137" t="str">
        <f t="shared" si="6"/>
        <v>(토)</v>
      </c>
      <c r="D151" s="140"/>
      <c r="E151" s="141"/>
      <c r="F151" s="137" t="str">
        <f t="shared" si="7"/>
        <v/>
      </c>
      <c r="G151" s="140"/>
      <c r="H151" s="141"/>
      <c r="I151" s="137" t="str">
        <f t="shared" si="8"/>
        <v/>
      </c>
    </row>
    <row r="152" spans="1:9">
      <c r="A152" s="140" t="s">
        <v>1008</v>
      </c>
      <c r="B152" s="141">
        <v>42827</v>
      </c>
      <c r="C152" s="137" t="str">
        <f t="shared" si="6"/>
        <v>(일)</v>
      </c>
      <c r="D152" s="140"/>
      <c r="E152" s="141"/>
      <c r="F152" s="137" t="str">
        <f t="shared" si="7"/>
        <v/>
      </c>
      <c r="G152" s="140"/>
      <c r="H152" s="141"/>
      <c r="I152" s="137" t="str">
        <f t="shared" si="8"/>
        <v/>
      </c>
    </row>
    <row r="153" spans="1:9">
      <c r="A153" s="140" t="s">
        <v>1008</v>
      </c>
      <c r="B153" s="141">
        <v>42833</v>
      </c>
      <c r="C153" s="137" t="str">
        <f t="shared" si="6"/>
        <v>(토)</v>
      </c>
      <c r="D153" s="140"/>
      <c r="E153" s="141"/>
      <c r="F153" s="137" t="str">
        <f t="shared" si="7"/>
        <v/>
      </c>
      <c r="G153" s="140"/>
      <c r="H153" s="141"/>
      <c r="I153" s="137" t="str">
        <f t="shared" si="8"/>
        <v/>
      </c>
    </row>
    <row r="154" spans="1:9">
      <c r="A154" s="140" t="s">
        <v>1008</v>
      </c>
      <c r="B154" s="141">
        <v>42834</v>
      </c>
      <c r="C154" s="137" t="str">
        <f t="shared" si="6"/>
        <v>(일)</v>
      </c>
      <c r="D154" s="140"/>
      <c r="E154" s="141"/>
      <c r="F154" s="137" t="str">
        <f t="shared" si="7"/>
        <v/>
      </c>
      <c r="G154" s="140"/>
      <c r="H154" s="141"/>
      <c r="I154" s="137" t="str">
        <f t="shared" si="8"/>
        <v/>
      </c>
    </row>
    <row r="155" spans="1:9">
      <c r="A155" s="140" t="s">
        <v>1008</v>
      </c>
      <c r="B155" s="141">
        <v>42840</v>
      </c>
      <c r="C155" s="137" t="str">
        <f t="shared" si="6"/>
        <v>(토)</v>
      </c>
      <c r="D155" s="140"/>
      <c r="E155" s="141"/>
      <c r="F155" s="137" t="str">
        <f t="shared" si="7"/>
        <v/>
      </c>
      <c r="G155" s="140"/>
      <c r="H155" s="141"/>
      <c r="I155" s="137" t="str">
        <f t="shared" si="8"/>
        <v/>
      </c>
    </row>
    <row r="156" spans="1:9">
      <c r="A156" s="140" t="s">
        <v>1008</v>
      </c>
      <c r="B156" s="141">
        <v>42841</v>
      </c>
      <c r="C156" s="137" t="str">
        <f t="shared" si="6"/>
        <v>(일)</v>
      </c>
      <c r="D156" s="140"/>
      <c r="E156" s="141"/>
      <c r="F156" s="137" t="str">
        <f t="shared" si="7"/>
        <v/>
      </c>
      <c r="G156" s="140"/>
      <c r="H156" s="141"/>
      <c r="I156" s="137" t="str">
        <f t="shared" si="8"/>
        <v/>
      </c>
    </row>
    <row r="157" spans="1:9">
      <c r="A157" s="140" t="s">
        <v>1008</v>
      </c>
      <c r="B157" s="141">
        <v>42847</v>
      </c>
      <c r="C157" s="137" t="str">
        <f t="shared" si="6"/>
        <v>(토)</v>
      </c>
      <c r="D157" s="140"/>
      <c r="E157" s="141"/>
      <c r="F157" s="137" t="str">
        <f t="shared" si="7"/>
        <v/>
      </c>
      <c r="G157" s="140"/>
      <c r="H157" s="141"/>
      <c r="I157" s="137" t="str">
        <f t="shared" si="8"/>
        <v/>
      </c>
    </row>
    <row r="158" spans="1:9">
      <c r="A158" s="140" t="s">
        <v>1008</v>
      </c>
      <c r="B158" s="141">
        <v>42848</v>
      </c>
      <c r="C158" s="137" t="str">
        <f t="shared" si="6"/>
        <v>(일)</v>
      </c>
      <c r="D158" s="140"/>
      <c r="E158" s="141"/>
      <c r="F158" s="137" t="str">
        <f t="shared" si="7"/>
        <v/>
      </c>
      <c r="G158" s="140"/>
      <c r="H158" s="141"/>
      <c r="I158" s="137" t="str">
        <f t="shared" si="8"/>
        <v/>
      </c>
    </row>
    <row r="159" spans="1:9">
      <c r="A159" s="140" t="s">
        <v>1008</v>
      </c>
      <c r="B159" s="141">
        <v>42854</v>
      </c>
      <c r="C159" s="137" t="str">
        <f t="shared" si="6"/>
        <v>(토)</v>
      </c>
      <c r="D159" s="140"/>
      <c r="E159" s="141"/>
      <c r="F159" s="137" t="str">
        <f t="shared" si="7"/>
        <v/>
      </c>
      <c r="G159" s="140"/>
      <c r="H159" s="141"/>
      <c r="I159" s="137" t="str">
        <f t="shared" si="8"/>
        <v/>
      </c>
    </row>
    <row r="160" spans="1:9">
      <c r="A160" s="140" t="s">
        <v>1008</v>
      </c>
      <c r="B160" s="141">
        <v>42855</v>
      </c>
      <c r="C160" s="137" t="str">
        <f t="shared" si="6"/>
        <v>(일)</v>
      </c>
      <c r="D160" s="140"/>
      <c r="E160" s="141"/>
      <c r="F160" s="137" t="str">
        <f t="shared" si="7"/>
        <v/>
      </c>
      <c r="G160" s="140"/>
      <c r="H160" s="141"/>
      <c r="I160" s="137" t="str">
        <f t="shared" si="8"/>
        <v/>
      </c>
    </row>
    <row r="161" spans="1:9">
      <c r="A161" s="140" t="s">
        <v>1009</v>
      </c>
      <c r="B161" s="141">
        <v>42858</v>
      </c>
      <c r="C161" s="137" t="str">
        <f t="shared" si="6"/>
        <v>(수)</v>
      </c>
      <c r="D161" s="140"/>
      <c r="E161" s="141"/>
      <c r="F161" s="137" t="str">
        <f t="shared" si="7"/>
        <v/>
      </c>
      <c r="G161" s="140"/>
      <c r="H161" s="141"/>
      <c r="I161" s="137" t="str">
        <f t="shared" si="8"/>
        <v/>
      </c>
    </row>
    <row r="162" spans="1:9">
      <c r="A162" s="140" t="s">
        <v>1010</v>
      </c>
      <c r="B162" s="141">
        <v>42860</v>
      </c>
      <c r="C162" s="137" t="str">
        <f t="shared" si="6"/>
        <v>(금)</v>
      </c>
      <c r="D162" s="140"/>
      <c r="E162" s="141"/>
      <c r="F162" s="137" t="str">
        <f t="shared" si="7"/>
        <v/>
      </c>
      <c r="G162" s="140"/>
      <c r="H162" s="141"/>
      <c r="I162" s="137" t="str">
        <f t="shared" si="8"/>
        <v/>
      </c>
    </row>
    <row r="163" spans="1:9">
      <c r="A163" s="140" t="s">
        <v>1011</v>
      </c>
      <c r="B163" s="141">
        <v>42861</v>
      </c>
      <c r="C163" s="137" t="str">
        <f t="shared" si="6"/>
        <v>(토)</v>
      </c>
      <c r="D163" s="140"/>
      <c r="E163" s="141"/>
      <c r="F163" s="137" t="str">
        <f t="shared" si="7"/>
        <v/>
      </c>
      <c r="G163" s="140"/>
      <c r="H163" s="141"/>
      <c r="I163" s="137" t="str">
        <f t="shared" si="8"/>
        <v/>
      </c>
    </row>
    <row r="164" spans="1:9">
      <c r="A164" s="140" t="s">
        <v>1011</v>
      </c>
      <c r="B164" s="141">
        <v>42862</v>
      </c>
      <c r="C164" s="137" t="str">
        <f t="shared" si="6"/>
        <v>(일)</v>
      </c>
      <c r="D164" s="140"/>
      <c r="E164" s="141"/>
      <c r="F164" s="137" t="str">
        <f t="shared" si="7"/>
        <v/>
      </c>
      <c r="G164" s="140"/>
      <c r="H164" s="141"/>
      <c r="I164" s="137" t="str">
        <f t="shared" si="8"/>
        <v/>
      </c>
    </row>
    <row r="165" spans="1:9">
      <c r="A165" s="140" t="s">
        <v>1115</v>
      </c>
      <c r="B165" s="141">
        <v>42864</v>
      </c>
      <c r="C165" s="137" t="str">
        <f t="shared" si="6"/>
        <v>(화)</v>
      </c>
      <c r="D165" s="140"/>
      <c r="E165" s="141"/>
      <c r="F165" s="137" t="str">
        <f t="shared" si="7"/>
        <v/>
      </c>
      <c r="G165" s="140"/>
      <c r="H165" s="141"/>
      <c r="I165" s="137" t="str">
        <f t="shared" si="8"/>
        <v/>
      </c>
    </row>
    <row r="166" spans="1:9">
      <c r="A166" s="140" t="s">
        <v>1011</v>
      </c>
      <c r="B166" s="141">
        <v>42868</v>
      </c>
      <c r="C166" s="137" t="str">
        <f t="shared" si="6"/>
        <v>(토)</v>
      </c>
      <c r="D166" s="140"/>
      <c r="E166" s="141"/>
      <c r="F166" s="137" t="str">
        <f t="shared" si="7"/>
        <v/>
      </c>
      <c r="G166" s="140"/>
      <c r="H166" s="141"/>
      <c r="I166" s="137" t="str">
        <f t="shared" si="8"/>
        <v/>
      </c>
    </row>
    <row r="167" spans="1:9">
      <c r="A167" s="140" t="s">
        <v>1011</v>
      </c>
      <c r="B167" s="141">
        <v>42869</v>
      </c>
      <c r="C167" s="137" t="str">
        <f t="shared" si="6"/>
        <v>(일)</v>
      </c>
      <c r="D167" s="140"/>
      <c r="E167" s="141"/>
      <c r="F167" s="137" t="str">
        <f t="shared" si="7"/>
        <v/>
      </c>
      <c r="G167" s="140"/>
      <c r="H167" s="141"/>
      <c r="I167" s="137" t="str">
        <f t="shared" si="8"/>
        <v/>
      </c>
    </row>
    <row r="168" spans="1:9">
      <c r="A168" s="140" t="s">
        <v>1011</v>
      </c>
      <c r="B168" s="141">
        <v>42875</v>
      </c>
      <c r="C168" s="137" t="str">
        <f t="shared" si="6"/>
        <v>(토)</v>
      </c>
      <c r="D168" s="140"/>
      <c r="E168" s="141"/>
      <c r="F168" s="137" t="str">
        <f t="shared" si="7"/>
        <v/>
      </c>
      <c r="G168" s="140"/>
      <c r="H168" s="141"/>
      <c r="I168" s="137" t="str">
        <f t="shared" si="8"/>
        <v/>
      </c>
    </row>
    <row r="169" spans="1:9">
      <c r="A169" s="140" t="s">
        <v>1011</v>
      </c>
      <c r="B169" s="141">
        <v>42876</v>
      </c>
      <c r="C169" s="137" t="str">
        <f t="shared" si="6"/>
        <v>(일)</v>
      </c>
      <c r="D169" s="140"/>
      <c r="E169" s="141"/>
      <c r="F169" s="137" t="str">
        <f t="shared" si="7"/>
        <v/>
      </c>
      <c r="G169" s="140"/>
      <c r="H169" s="141"/>
      <c r="I169" s="137" t="str">
        <f t="shared" si="8"/>
        <v/>
      </c>
    </row>
    <row r="170" spans="1:9">
      <c r="A170" s="140" t="s">
        <v>1011</v>
      </c>
      <c r="B170" s="141">
        <v>42882</v>
      </c>
      <c r="C170" s="137" t="str">
        <f t="shared" si="6"/>
        <v>(토)</v>
      </c>
      <c r="D170" s="140"/>
      <c r="E170" s="141"/>
      <c r="F170" s="137" t="str">
        <f t="shared" si="7"/>
        <v/>
      </c>
      <c r="G170" s="140"/>
      <c r="H170" s="141"/>
      <c r="I170" s="137" t="str">
        <f t="shared" si="8"/>
        <v/>
      </c>
    </row>
    <row r="171" spans="1:9">
      <c r="A171" s="140" t="s">
        <v>1011</v>
      </c>
      <c r="B171" s="141">
        <v>42883</v>
      </c>
      <c r="C171" s="137" t="str">
        <f t="shared" si="6"/>
        <v>(일)</v>
      </c>
      <c r="D171" s="140"/>
      <c r="E171" s="141"/>
      <c r="F171" s="137" t="str">
        <f t="shared" si="7"/>
        <v/>
      </c>
      <c r="G171" s="140"/>
      <c r="H171" s="141"/>
      <c r="I171" s="137" t="str">
        <f t="shared" si="8"/>
        <v/>
      </c>
    </row>
    <row r="172" spans="1:9">
      <c r="A172" s="140" t="s">
        <v>1012</v>
      </c>
      <c r="B172" s="141">
        <v>42889</v>
      </c>
      <c r="C172" s="137" t="str">
        <f t="shared" si="6"/>
        <v>(토)</v>
      </c>
      <c r="D172" s="140"/>
      <c r="E172" s="141"/>
      <c r="F172" s="137" t="str">
        <f t="shared" si="7"/>
        <v/>
      </c>
      <c r="G172" s="140"/>
      <c r="H172" s="141"/>
      <c r="I172" s="137" t="str">
        <f t="shared" si="8"/>
        <v/>
      </c>
    </row>
    <row r="173" spans="1:9">
      <c r="A173" s="140" t="s">
        <v>1012</v>
      </c>
      <c r="B173" s="141">
        <v>42890</v>
      </c>
      <c r="C173" s="137" t="str">
        <f t="shared" si="6"/>
        <v>(일)</v>
      </c>
      <c r="D173" s="140"/>
      <c r="E173" s="141"/>
      <c r="F173" s="137" t="str">
        <f t="shared" si="7"/>
        <v/>
      </c>
      <c r="G173" s="140"/>
      <c r="H173" s="141"/>
      <c r="I173" s="137" t="str">
        <f t="shared" si="8"/>
        <v/>
      </c>
    </row>
    <row r="174" spans="1:9">
      <c r="A174" s="140" t="s">
        <v>1013</v>
      </c>
      <c r="B174" s="141">
        <v>42892</v>
      </c>
      <c r="C174" s="137" t="str">
        <f t="shared" si="6"/>
        <v>(화)</v>
      </c>
      <c r="D174" s="140"/>
      <c r="E174" s="141"/>
      <c r="F174" s="137" t="str">
        <f t="shared" si="7"/>
        <v/>
      </c>
      <c r="G174" s="140"/>
      <c r="H174" s="141"/>
      <c r="I174" s="137" t="str">
        <f t="shared" si="8"/>
        <v/>
      </c>
    </row>
    <row r="175" spans="1:9">
      <c r="A175" s="140" t="s">
        <v>1012</v>
      </c>
      <c r="B175" s="141">
        <v>42896</v>
      </c>
      <c r="C175" s="137" t="str">
        <f t="shared" si="6"/>
        <v>(토)</v>
      </c>
      <c r="D175" s="140"/>
      <c r="E175" s="141"/>
      <c r="F175" s="137" t="str">
        <f t="shared" si="7"/>
        <v/>
      </c>
      <c r="G175" s="140"/>
      <c r="H175" s="141"/>
      <c r="I175" s="137" t="str">
        <f t="shared" si="8"/>
        <v/>
      </c>
    </row>
    <row r="176" spans="1:9">
      <c r="A176" s="140" t="s">
        <v>1012</v>
      </c>
      <c r="B176" s="141">
        <v>42897</v>
      </c>
      <c r="C176" s="137" t="str">
        <f t="shared" si="6"/>
        <v>(일)</v>
      </c>
      <c r="D176" s="140"/>
      <c r="E176" s="141"/>
      <c r="F176" s="137" t="str">
        <f t="shared" si="7"/>
        <v/>
      </c>
      <c r="G176" s="140"/>
      <c r="H176" s="141"/>
      <c r="I176" s="137" t="str">
        <f t="shared" si="8"/>
        <v/>
      </c>
    </row>
    <row r="177" spans="1:9">
      <c r="A177" s="140" t="s">
        <v>1012</v>
      </c>
      <c r="B177" s="141">
        <v>42903</v>
      </c>
      <c r="C177" s="137" t="str">
        <f t="shared" si="6"/>
        <v>(토)</v>
      </c>
      <c r="D177" s="140"/>
      <c r="E177" s="141"/>
      <c r="F177" s="137" t="str">
        <f t="shared" si="7"/>
        <v/>
      </c>
      <c r="G177" s="140"/>
      <c r="H177" s="141"/>
      <c r="I177" s="137" t="str">
        <f t="shared" si="8"/>
        <v/>
      </c>
    </row>
    <row r="178" spans="1:9">
      <c r="A178" s="140" t="s">
        <v>1012</v>
      </c>
      <c r="B178" s="141">
        <v>42904</v>
      </c>
      <c r="C178" s="137" t="str">
        <f t="shared" si="6"/>
        <v>(일)</v>
      </c>
      <c r="D178" s="140"/>
      <c r="E178" s="141"/>
      <c r="F178" s="137" t="str">
        <f t="shared" si="7"/>
        <v/>
      </c>
      <c r="G178" s="140"/>
      <c r="H178" s="141"/>
      <c r="I178" s="137" t="str">
        <f t="shared" si="8"/>
        <v/>
      </c>
    </row>
    <row r="179" spans="1:9">
      <c r="A179" s="140" t="s">
        <v>1012</v>
      </c>
      <c r="B179" s="141">
        <v>42910</v>
      </c>
      <c r="C179" s="137" t="str">
        <f t="shared" si="6"/>
        <v>(토)</v>
      </c>
      <c r="D179" s="140"/>
      <c r="E179" s="141"/>
      <c r="F179" s="137" t="str">
        <f t="shared" si="7"/>
        <v/>
      </c>
      <c r="G179" s="140"/>
      <c r="H179" s="141"/>
      <c r="I179" s="137" t="str">
        <f t="shared" si="8"/>
        <v/>
      </c>
    </row>
    <row r="180" spans="1:9">
      <c r="A180" s="140" t="s">
        <v>1012</v>
      </c>
      <c r="B180" s="141">
        <v>42911</v>
      </c>
      <c r="C180" s="137" t="str">
        <f t="shared" si="6"/>
        <v>(일)</v>
      </c>
      <c r="D180" s="140"/>
      <c r="E180" s="141"/>
      <c r="F180" s="137" t="str">
        <f t="shared" si="7"/>
        <v/>
      </c>
      <c r="G180" s="140"/>
      <c r="H180" s="141"/>
      <c r="I180" s="137" t="str">
        <f t="shared" si="8"/>
        <v/>
      </c>
    </row>
    <row r="181" spans="1:9">
      <c r="A181" s="140" t="s">
        <v>1014</v>
      </c>
      <c r="B181" s="141">
        <v>42917</v>
      </c>
      <c r="C181" s="137" t="str">
        <f t="shared" si="6"/>
        <v>(토)</v>
      </c>
      <c r="D181" s="140"/>
      <c r="E181" s="141"/>
      <c r="F181" s="137" t="str">
        <f t="shared" si="7"/>
        <v/>
      </c>
      <c r="G181" s="140"/>
      <c r="H181" s="141"/>
      <c r="I181" s="137" t="str">
        <f t="shared" si="8"/>
        <v/>
      </c>
    </row>
    <row r="182" spans="1:9">
      <c r="A182" s="140" t="s">
        <v>1014</v>
      </c>
      <c r="B182" s="141">
        <v>42918</v>
      </c>
      <c r="C182" s="137" t="str">
        <f t="shared" si="6"/>
        <v>(일)</v>
      </c>
      <c r="D182" s="140"/>
      <c r="E182" s="141"/>
      <c r="F182" s="137" t="str">
        <f t="shared" si="7"/>
        <v/>
      </c>
      <c r="G182" s="140"/>
      <c r="H182" s="141"/>
      <c r="I182" s="137" t="str">
        <f t="shared" si="8"/>
        <v/>
      </c>
    </row>
    <row r="183" spans="1:9">
      <c r="A183" s="140" t="s">
        <v>1014</v>
      </c>
      <c r="B183" s="141">
        <v>42924</v>
      </c>
      <c r="C183" s="137" t="str">
        <f t="shared" si="6"/>
        <v>(토)</v>
      </c>
      <c r="D183" s="140"/>
      <c r="E183" s="141"/>
      <c r="F183" s="137" t="str">
        <f t="shared" si="7"/>
        <v/>
      </c>
      <c r="G183" s="140"/>
      <c r="H183" s="141"/>
      <c r="I183" s="137" t="str">
        <f t="shared" si="8"/>
        <v/>
      </c>
    </row>
    <row r="184" spans="1:9">
      <c r="A184" s="140" t="s">
        <v>1014</v>
      </c>
      <c r="B184" s="141">
        <v>42925</v>
      </c>
      <c r="C184" s="137" t="str">
        <f t="shared" si="6"/>
        <v>(일)</v>
      </c>
      <c r="D184" s="140"/>
      <c r="E184" s="141"/>
      <c r="F184" s="137" t="str">
        <f t="shared" si="7"/>
        <v/>
      </c>
      <c r="G184" s="140"/>
      <c r="H184" s="141"/>
      <c r="I184" s="137" t="str">
        <f t="shared" si="8"/>
        <v/>
      </c>
    </row>
    <row r="185" spans="1:9">
      <c r="A185" s="140" t="s">
        <v>1014</v>
      </c>
      <c r="B185" s="141">
        <v>42931</v>
      </c>
      <c r="C185" s="137" t="str">
        <f t="shared" si="6"/>
        <v>(토)</v>
      </c>
      <c r="D185" s="140"/>
      <c r="E185" s="141"/>
      <c r="F185" s="137" t="str">
        <f t="shared" si="7"/>
        <v/>
      </c>
      <c r="G185" s="140"/>
      <c r="H185" s="141"/>
      <c r="I185" s="137" t="str">
        <f t="shared" si="8"/>
        <v/>
      </c>
    </row>
    <row r="186" spans="1:9">
      <c r="A186" s="140" t="s">
        <v>1014</v>
      </c>
      <c r="B186" s="141">
        <v>42932</v>
      </c>
      <c r="C186" s="137" t="str">
        <f t="shared" si="6"/>
        <v>(일)</v>
      </c>
      <c r="D186" s="140"/>
      <c r="E186" s="141"/>
      <c r="F186" s="137" t="str">
        <f t="shared" si="7"/>
        <v/>
      </c>
      <c r="G186" s="140"/>
      <c r="H186" s="141"/>
      <c r="I186" s="137" t="str">
        <f t="shared" si="8"/>
        <v/>
      </c>
    </row>
    <row r="187" spans="1:9">
      <c r="A187" s="140" t="s">
        <v>1014</v>
      </c>
      <c r="B187" s="141">
        <v>42938</v>
      </c>
      <c r="C187" s="137" t="str">
        <f t="shared" si="6"/>
        <v>(토)</v>
      </c>
      <c r="D187" s="140"/>
      <c r="E187" s="141"/>
      <c r="F187" s="137" t="str">
        <f t="shared" si="7"/>
        <v/>
      </c>
      <c r="G187" s="140"/>
      <c r="H187" s="141"/>
      <c r="I187" s="137" t="str">
        <f t="shared" si="8"/>
        <v/>
      </c>
    </row>
    <row r="188" spans="1:9">
      <c r="A188" s="140" t="s">
        <v>1014</v>
      </c>
      <c r="B188" s="141">
        <v>42939</v>
      </c>
      <c r="C188" s="137" t="str">
        <f t="shared" si="6"/>
        <v>(일)</v>
      </c>
      <c r="D188" s="140"/>
      <c r="E188" s="141"/>
      <c r="F188" s="137" t="str">
        <f t="shared" si="7"/>
        <v/>
      </c>
      <c r="G188" s="140"/>
      <c r="H188" s="141"/>
      <c r="I188" s="137" t="str">
        <f t="shared" si="8"/>
        <v/>
      </c>
    </row>
    <row r="189" spans="1:9">
      <c r="A189" s="140" t="s">
        <v>1014</v>
      </c>
      <c r="B189" s="141">
        <v>42945</v>
      </c>
      <c r="C189" s="137" t="str">
        <f t="shared" si="6"/>
        <v>(토)</v>
      </c>
      <c r="D189" s="140"/>
      <c r="E189" s="141"/>
      <c r="F189" s="137" t="str">
        <f t="shared" si="7"/>
        <v/>
      </c>
      <c r="G189" s="140"/>
      <c r="H189" s="141"/>
      <c r="I189" s="137" t="str">
        <f t="shared" si="8"/>
        <v/>
      </c>
    </row>
    <row r="190" spans="1:9">
      <c r="A190" s="140" t="s">
        <v>1014</v>
      </c>
      <c r="B190" s="141">
        <v>42946</v>
      </c>
      <c r="C190" s="137" t="str">
        <f t="shared" si="6"/>
        <v>(일)</v>
      </c>
      <c r="D190" s="140"/>
      <c r="E190" s="141"/>
      <c r="F190" s="137" t="str">
        <f t="shared" si="7"/>
        <v/>
      </c>
      <c r="G190" s="140"/>
      <c r="H190" s="141"/>
      <c r="I190" s="137" t="str">
        <f t="shared" si="8"/>
        <v/>
      </c>
    </row>
    <row r="191" spans="1:9">
      <c r="A191" s="140" t="s">
        <v>1015</v>
      </c>
      <c r="B191" s="141">
        <v>42952</v>
      </c>
      <c r="C191" s="137" t="str">
        <f t="shared" si="6"/>
        <v>(토)</v>
      </c>
      <c r="D191" s="140"/>
      <c r="E191" s="141"/>
      <c r="F191" s="137" t="str">
        <f t="shared" si="7"/>
        <v/>
      </c>
      <c r="G191" s="140"/>
      <c r="H191" s="141"/>
      <c r="I191" s="137" t="str">
        <f t="shared" si="8"/>
        <v/>
      </c>
    </row>
    <row r="192" spans="1:9">
      <c r="A192" s="140" t="s">
        <v>1015</v>
      </c>
      <c r="B192" s="141">
        <v>42953</v>
      </c>
      <c r="C192" s="137" t="str">
        <f t="shared" si="6"/>
        <v>(일)</v>
      </c>
      <c r="D192" s="140"/>
      <c r="E192" s="141"/>
      <c r="F192" s="137" t="str">
        <f t="shared" si="7"/>
        <v/>
      </c>
      <c r="G192" s="140"/>
      <c r="H192" s="141"/>
      <c r="I192" s="137" t="str">
        <f t="shared" si="8"/>
        <v/>
      </c>
    </row>
    <row r="193" spans="1:9">
      <c r="A193" s="140" t="s">
        <v>1015</v>
      </c>
      <c r="B193" s="141">
        <v>42959</v>
      </c>
      <c r="C193" s="137" t="str">
        <f t="shared" si="6"/>
        <v>(토)</v>
      </c>
      <c r="D193" s="140"/>
      <c r="E193" s="141"/>
      <c r="F193" s="137" t="str">
        <f t="shared" si="7"/>
        <v/>
      </c>
      <c r="G193" s="140"/>
      <c r="H193" s="141"/>
      <c r="I193" s="137" t="str">
        <f t="shared" si="8"/>
        <v/>
      </c>
    </row>
    <row r="194" spans="1:9">
      <c r="A194" s="140" t="s">
        <v>1015</v>
      </c>
      <c r="B194" s="141">
        <v>42960</v>
      </c>
      <c r="C194" s="137" t="str">
        <f t="shared" si="6"/>
        <v>(일)</v>
      </c>
      <c r="D194" s="140"/>
      <c r="E194" s="141"/>
      <c r="F194" s="137" t="str">
        <f t="shared" si="7"/>
        <v/>
      </c>
      <c r="G194" s="140"/>
      <c r="H194" s="141"/>
      <c r="I194" s="137" t="str">
        <f t="shared" si="8"/>
        <v/>
      </c>
    </row>
    <row r="195" spans="1:9">
      <c r="A195" s="140" t="s">
        <v>1016</v>
      </c>
      <c r="B195" s="141">
        <v>42962</v>
      </c>
      <c r="C195" s="137" t="str">
        <f t="shared" si="6"/>
        <v>(화)</v>
      </c>
      <c r="D195" s="140"/>
      <c r="E195" s="141"/>
      <c r="F195" s="137" t="str">
        <f t="shared" si="7"/>
        <v/>
      </c>
      <c r="G195" s="140"/>
      <c r="H195" s="141"/>
      <c r="I195" s="137" t="str">
        <f t="shared" si="8"/>
        <v/>
      </c>
    </row>
    <row r="196" spans="1:9">
      <c r="A196" s="140" t="s">
        <v>1015</v>
      </c>
      <c r="B196" s="141">
        <v>42966</v>
      </c>
      <c r="C196" s="137" t="str">
        <f t="shared" si="6"/>
        <v>(토)</v>
      </c>
      <c r="D196" s="140"/>
      <c r="E196" s="141"/>
      <c r="F196" s="137" t="str">
        <f t="shared" si="7"/>
        <v/>
      </c>
      <c r="G196" s="140"/>
      <c r="H196" s="141"/>
      <c r="I196" s="137" t="str">
        <f t="shared" si="8"/>
        <v/>
      </c>
    </row>
    <row r="197" spans="1:9">
      <c r="A197" s="140" t="s">
        <v>1015</v>
      </c>
      <c r="B197" s="141">
        <v>42967</v>
      </c>
      <c r="C197" s="137" t="str">
        <f t="shared" ref="C197:C260" si="9">IF(B197&gt;0,TEXT(B197,"(aaa)"),"")</f>
        <v>(일)</v>
      </c>
      <c r="D197" s="140"/>
      <c r="E197" s="141"/>
      <c r="F197" s="137" t="str">
        <f t="shared" ref="F197:F260" si="10">IF(E197&gt;0,TEXT(E197,"(aaa)"),"")</f>
        <v/>
      </c>
      <c r="G197" s="140"/>
      <c r="H197" s="141"/>
      <c r="I197" s="137" t="str">
        <f t="shared" ref="I197:I260" si="11">IF(H197&gt;0,TEXT(H197,"(aaa)"),"")</f>
        <v/>
      </c>
    </row>
    <row r="198" spans="1:9">
      <c r="A198" s="140" t="s">
        <v>1015</v>
      </c>
      <c r="B198" s="141">
        <v>42973</v>
      </c>
      <c r="C198" s="137" t="str">
        <f t="shared" si="9"/>
        <v>(토)</v>
      </c>
      <c r="D198" s="140"/>
      <c r="E198" s="141"/>
      <c r="F198" s="137" t="str">
        <f t="shared" si="10"/>
        <v/>
      </c>
      <c r="G198" s="140"/>
      <c r="H198" s="141"/>
      <c r="I198" s="137" t="str">
        <f t="shared" si="11"/>
        <v/>
      </c>
    </row>
    <row r="199" spans="1:9">
      <c r="A199" s="140" t="s">
        <v>1015</v>
      </c>
      <c r="B199" s="141">
        <v>42974</v>
      </c>
      <c r="C199" s="137" t="str">
        <f t="shared" si="9"/>
        <v>(일)</v>
      </c>
      <c r="D199" s="140"/>
      <c r="E199" s="141"/>
      <c r="F199" s="137" t="str">
        <f t="shared" si="10"/>
        <v/>
      </c>
      <c r="G199" s="140"/>
      <c r="H199" s="141"/>
      <c r="I199" s="137" t="str">
        <f t="shared" si="11"/>
        <v/>
      </c>
    </row>
    <row r="200" spans="1:9">
      <c r="A200" s="140" t="s">
        <v>1017</v>
      </c>
      <c r="B200" s="141">
        <v>42980</v>
      </c>
      <c r="C200" s="137" t="str">
        <f t="shared" si="9"/>
        <v>(토)</v>
      </c>
      <c r="D200" s="140"/>
      <c r="E200" s="141"/>
      <c r="F200" s="137" t="str">
        <f t="shared" si="10"/>
        <v/>
      </c>
      <c r="G200" s="140"/>
      <c r="H200" s="141"/>
      <c r="I200" s="137" t="str">
        <f t="shared" si="11"/>
        <v/>
      </c>
    </row>
    <row r="201" spans="1:9">
      <c r="A201" s="140" t="s">
        <v>1017</v>
      </c>
      <c r="B201" s="141">
        <v>42981</v>
      </c>
      <c r="C201" s="137" t="str">
        <f t="shared" si="9"/>
        <v>(일)</v>
      </c>
      <c r="D201" s="140"/>
      <c r="E201" s="141"/>
      <c r="F201" s="137" t="str">
        <f t="shared" si="10"/>
        <v/>
      </c>
      <c r="G201" s="140"/>
      <c r="H201" s="141"/>
      <c r="I201" s="137" t="str">
        <f t="shared" si="11"/>
        <v/>
      </c>
    </row>
    <row r="202" spans="1:9">
      <c r="A202" s="140" t="s">
        <v>1017</v>
      </c>
      <c r="B202" s="141">
        <v>42987</v>
      </c>
      <c r="C202" s="137" t="str">
        <f t="shared" si="9"/>
        <v>(토)</v>
      </c>
      <c r="D202" s="140"/>
      <c r="E202" s="141"/>
      <c r="F202" s="137" t="str">
        <f t="shared" si="10"/>
        <v/>
      </c>
      <c r="G202" s="140"/>
      <c r="H202" s="141"/>
      <c r="I202" s="137" t="str">
        <f t="shared" si="11"/>
        <v/>
      </c>
    </row>
    <row r="203" spans="1:9">
      <c r="A203" s="140" t="s">
        <v>1017</v>
      </c>
      <c r="B203" s="141">
        <v>42988</v>
      </c>
      <c r="C203" s="137" t="str">
        <f t="shared" si="9"/>
        <v>(일)</v>
      </c>
      <c r="D203" s="140"/>
      <c r="E203" s="141"/>
      <c r="F203" s="137" t="str">
        <f t="shared" si="10"/>
        <v/>
      </c>
      <c r="G203" s="140"/>
      <c r="H203" s="141"/>
      <c r="I203" s="137" t="str">
        <f t="shared" si="11"/>
        <v/>
      </c>
    </row>
    <row r="204" spans="1:9">
      <c r="A204" s="140" t="s">
        <v>1017</v>
      </c>
      <c r="B204" s="141">
        <v>42994</v>
      </c>
      <c r="C204" s="137" t="str">
        <f t="shared" si="9"/>
        <v>(토)</v>
      </c>
      <c r="D204" s="140"/>
      <c r="E204" s="141"/>
      <c r="F204" s="137" t="str">
        <f t="shared" si="10"/>
        <v/>
      </c>
      <c r="G204" s="140"/>
      <c r="H204" s="141"/>
      <c r="I204" s="137" t="str">
        <f t="shared" si="11"/>
        <v/>
      </c>
    </row>
    <row r="205" spans="1:9">
      <c r="A205" s="140" t="s">
        <v>1017</v>
      </c>
      <c r="B205" s="141">
        <v>42995</v>
      </c>
      <c r="C205" s="137" t="str">
        <f t="shared" si="9"/>
        <v>(일)</v>
      </c>
      <c r="D205" s="140"/>
      <c r="E205" s="141"/>
      <c r="F205" s="137" t="str">
        <f t="shared" si="10"/>
        <v/>
      </c>
      <c r="G205" s="140"/>
      <c r="H205" s="141"/>
      <c r="I205" s="137" t="str">
        <f t="shared" si="11"/>
        <v/>
      </c>
    </row>
    <row r="206" spans="1:9">
      <c r="A206" s="140" t="s">
        <v>1017</v>
      </c>
      <c r="B206" s="141">
        <v>43001</v>
      </c>
      <c r="C206" s="137" t="str">
        <f t="shared" si="9"/>
        <v>(토)</v>
      </c>
      <c r="D206" s="140"/>
      <c r="E206" s="141"/>
      <c r="F206" s="137" t="str">
        <f t="shared" si="10"/>
        <v/>
      </c>
      <c r="G206" s="140"/>
      <c r="H206" s="141"/>
      <c r="I206" s="137" t="str">
        <f t="shared" si="11"/>
        <v/>
      </c>
    </row>
    <row r="207" spans="1:9">
      <c r="A207" s="140" t="s">
        <v>1017</v>
      </c>
      <c r="B207" s="141">
        <v>43002</v>
      </c>
      <c r="C207" s="137" t="str">
        <f t="shared" si="9"/>
        <v>(일)</v>
      </c>
      <c r="D207" s="140"/>
      <c r="E207" s="141"/>
      <c r="F207" s="137" t="str">
        <f t="shared" si="10"/>
        <v/>
      </c>
      <c r="G207" s="140"/>
      <c r="H207" s="141"/>
      <c r="I207" s="137" t="str">
        <f t="shared" si="11"/>
        <v/>
      </c>
    </row>
    <row r="208" spans="1:9">
      <c r="A208" s="140" t="s">
        <v>1017</v>
      </c>
      <c r="B208" s="141">
        <v>43008</v>
      </c>
      <c r="C208" s="137" t="str">
        <f t="shared" si="9"/>
        <v>(토)</v>
      </c>
      <c r="D208" s="140"/>
      <c r="E208" s="141"/>
      <c r="F208" s="137" t="str">
        <f t="shared" si="10"/>
        <v/>
      </c>
      <c r="G208" s="140"/>
      <c r="H208" s="141"/>
      <c r="I208" s="137" t="str">
        <f t="shared" si="11"/>
        <v/>
      </c>
    </row>
    <row r="209" spans="1:9">
      <c r="A209" s="140" t="s">
        <v>1018</v>
      </c>
      <c r="B209" s="141">
        <v>43009</v>
      </c>
      <c r="C209" s="137" t="str">
        <f t="shared" si="9"/>
        <v>(일)</v>
      </c>
      <c r="D209" s="140"/>
      <c r="E209" s="141"/>
      <c r="F209" s="137" t="str">
        <f t="shared" si="10"/>
        <v/>
      </c>
      <c r="G209" s="140"/>
      <c r="H209" s="141"/>
      <c r="I209" s="137" t="str">
        <f t="shared" si="11"/>
        <v/>
      </c>
    </row>
    <row r="210" spans="1:9">
      <c r="A210" s="140" t="s">
        <v>1019</v>
      </c>
      <c r="B210" s="141">
        <v>43011</v>
      </c>
      <c r="C210" s="137" t="str">
        <f t="shared" si="9"/>
        <v>(화)</v>
      </c>
      <c r="D210" s="140"/>
      <c r="E210" s="141"/>
      <c r="F210" s="137" t="str">
        <f t="shared" si="10"/>
        <v/>
      </c>
      <c r="G210" s="140"/>
      <c r="H210" s="141"/>
      <c r="I210" s="137" t="str">
        <f t="shared" si="11"/>
        <v/>
      </c>
    </row>
    <row r="211" spans="1:9">
      <c r="A211" s="140" t="s">
        <v>1020</v>
      </c>
      <c r="B211" s="141">
        <v>43012</v>
      </c>
      <c r="C211" s="137" t="str">
        <f t="shared" si="9"/>
        <v>(수)</v>
      </c>
      <c r="D211" s="140"/>
      <c r="E211" s="141"/>
      <c r="F211" s="137" t="str">
        <f t="shared" si="10"/>
        <v/>
      </c>
      <c r="G211" s="140"/>
      <c r="H211" s="141"/>
      <c r="I211" s="137" t="str">
        <f t="shared" si="11"/>
        <v/>
      </c>
    </row>
    <row r="212" spans="1:9">
      <c r="A212" s="140" t="s">
        <v>1021</v>
      </c>
      <c r="B212" s="141">
        <v>43013</v>
      </c>
      <c r="C212" s="137" t="str">
        <f t="shared" si="9"/>
        <v>(목)</v>
      </c>
      <c r="D212" s="140"/>
      <c r="E212" s="141"/>
      <c r="F212" s="137" t="str">
        <f t="shared" si="10"/>
        <v/>
      </c>
      <c r="G212" s="140"/>
      <c r="H212" s="141"/>
      <c r="I212" s="137" t="str">
        <f t="shared" si="11"/>
        <v/>
      </c>
    </row>
    <row r="213" spans="1:9">
      <c r="A213" s="140" t="s">
        <v>1022</v>
      </c>
      <c r="B213" s="141">
        <v>43014</v>
      </c>
      <c r="C213" s="137" t="str">
        <f t="shared" si="9"/>
        <v>(금)</v>
      </c>
      <c r="D213" s="140"/>
      <c r="E213" s="141"/>
      <c r="F213" s="137" t="str">
        <f t="shared" si="10"/>
        <v/>
      </c>
      <c r="G213" s="140"/>
      <c r="H213" s="141"/>
      <c r="I213" s="137" t="str">
        <f t="shared" si="11"/>
        <v/>
      </c>
    </row>
    <row r="214" spans="1:9">
      <c r="A214" s="140" t="s">
        <v>1018</v>
      </c>
      <c r="B214" s="141">
        <v>43015</v>
      </c>
      <c r="C214" s="137" t="str">
        <f t="shared" si="9"/>
        <v>(토)</v>
      </c>
      <c r="D214" s="140"/>
      <c r="E214" s="141"/>
      <c r="F214" s="137" t="str">
        <f t="shared" si="10"/>
        <v/>
      </c>
      <c r="G214" s="140"/>
      <c r="H214" s="141"/>
      <c r="I214" s="137" t="str">
        <f t="shared" si="11"/>
        <v/>
      </c>
    </row>
    <row r="215" spans="1:9">
      <c r="A215" s="140" t="s">
        <v>1018</v>
      </c>
      <c r="B215" s="141">
        <v>43016</v>
      </c>
      <c r="C215" s="137" t="str">
        <f t="shared" si="9"/>
        <v>(일)</v>
      </c>
      <c r="D215" s="140"/>
      <c r="E215" s="141"/>
      <c r="F215" s="137" t="str">
        <f t="shared" si="10"/>
        <v/>
      </c>
      <c r="G215" s="140"/>
      <c r="H215" s="141"/>
      <c r="I215" s="137" t="str">
        <f t="shared" si="11"/>
        <v/>
      </c>
    </row>
    <row r="216" spans="1:9">
      <c r="A216" s="140" t="s">
        <v>1023</v>
      </c>
      <c r="B216" s="141">
        <v>43017</v>
      </c>
      <c r="C216" s="137" t="str">
        <f t="shared" si="9"/>
        <v>(월)</v>
      </c>
      <c r="D216" s="140"/>
      <c r="E216" s="141"/>
      <c r="F216" s="137" t="str">
        <f t="shared" si="10"/>
        <v/>
      </c>
      <c r="G216" s="140"/>
      <c r="H216" s="141"/>
      <c r="I216" s="137" t="str">
        <f t="shared" si="11"/>
        <v/>
      </c>
    </row>
    <row r="217" spans="1:9">
      <c r="A217" s="140" t="s">
        <v>1018</v>
      </c>
      <c r="B217" s="141">
        <v>43022</v>
      </c>
      <c r="C217" s="137" t="str">
        <f t="shared" si="9"/>
        <v>(토)</v>
      </c>
      <c r="D217" s="140"/>
      <c r="E217" s="141"/>
      <c r="F217" s="137" t="str">
        <f t="shared" si="10"/>
        <v/>
      </c>
      <c r="G217" s="140"/>
      <c r="H217" s="141"/>
      <c r="I217" s="137" t="str">
        <f t="shared" si="11"/>
        <v/>
      </c>
    </row>
    <row r="218" spans="1:9">
      <c r="A218" s="140" t="s">
        <v>1018</v>
      </c>
      <c r="B218" s="141">
        <v>43023</v>
      </c>
      <c r="C218" s="137" t="str">
        <f t="shared" si="9"/>
        <v>(일)</v>
      </c>
      <c r="D218" s="140"/>
      <c r="E218" s="141"/>
      <c r="F218" s="137" t="str">
        <f t="shared" si="10"/>
        <v/>
      </c>
      <c r="G218" s="140"/>
      <c r="H218" s="141"/>
      <c r="I218" s="137" t="str">
        <f t="shared" si="11"/>
        <v/>
      </c>
    </row>
    <row r="219" spans="1:9">
      <c r="A219" s="140" t="s">
        <v>1018</v>
      </c>
      <c r="B219" s="141">
        <v>43029</v>
      </c>
      <c r="C219" s="137" t="str">
        <f t="shared" si="9"/>
        <v>(토)</v>
      </c>
      <c r="D219" s="140"/>
      <c r="E219" s="141"/>
      <c r="F219" s="137" t="str">
        <f t="shared" si="10"/>
        <v/>
      </c>
      <c r="G219" s="140"/>
      <c r="H219" s="141"/>
      <c r="I219" s="137" t="str">
        <f t="shared" si="11"/>
        <v/>
      </c>
    </row>
    <row r="220" spans="1:9">
      <c r="A220" s="140" t="s">
        <v>1018</v>
      </c>
      <c r="B220" s="141">
        <v>43030</v>
      </c>
      <c r="C220" s="137" t="str">
        <f t="shared" si="9"/>
        <v>(일)</v>
      </c>
      <c r="D220" s="140"/>
      <c r="E220" s="141"/>
      <c r="F220" s="137" t="str">
        <f t="shared" si="10"/>
        <v/>
      </c>
      <c r="G220" s="140"/>
      <c r="H220" s="141"/>
      <c r="I220" s="137" t="str">
        <f t="shared" si="11"/>
        <v/>
      </c>
    </row>
    <row r="221" spans="1:9">
      <c r="A221" s="140" t="s">
        <v>1018</v>
      </c>
      <c r="B221" s="141">
        <v>43036</v>
      </c>
      <c r="C221" s="137" t="str">
        <f t="shared" si="9"/>
        <v>(토)</v>
      </c>
      <c r="D221" s="140"/>
      <c r="E221" s="141"/>
      <c r="F221" s="137" t="str">
        <f t="shared" si="10"/>
        <v/>
      </c>
      <c r="G221" s="140"/>
      <c r="H221" s="141"/>
      <c r="I221" s="137" t="str">
        <f t="shared" si="11"/>
        <v/>
      </c>
    </row>
    <row r="222" spans="1:9">
      <c r="A222" s="140" t="s">
        <v>1018</v>
      </c>
      <c r="B222" s="141">
        <v>43037</v>
      </c>
      <c r="C222" s="137" t="str">
        <f t="shared" si="9"/>
        <v>(일)</v>
      </c>
      <c r="D222" s="140"/>
      <c r="E222" s="141"/>
      <c r="F222" s="137" t="str">
        <f t="shared" si="10"/>
        <v/>
      </c>
      <c r="G222" s="140"/>
      <c r="H222" s="141"/>
      <c r="I222" s="137" t="str">
        <f t="shared" si="11"/>
        <v/>
      </c>
    </row>
    <row r="223" spans="1:9">
      <c r="A223" s="140" t="s">
        <v>1024</v>
      </c>
      <c r="B223" s="141">
        <v>43043</v>
      </c>
      <c r="C223" s="137" t="str">
        <f t="shared" si="9"/>
        <v>(토)</v>
      </c>
      <c r="D223" s="140"/>
      <c r="E223" s="141"/>
      <c r="F223" s="137" t="str">
        <f t="shared" si="10"/>
        <v/>
      </c>
      <c r="G223" s="140"/>
      <c r="H223" s="141"/>
      <c r="I223" s="137" t="str">
        <f t="shared" si="11"/>
        <v/>
      </c>
    </row>
    <row r="224" spans="1:9">
      <c r="A224" s="140" t="s">
        <v>1024</v>
      </c>
      <c r="B224" s="141">
        <v>43044</v>
      </c>
      <c r="C224" s="137" t="str">
        <f t="shared" si="9"/>
        <v>(일)</v>
      </c>
      <c r="D224" s="140"/>
      <c r="E224" s="141"/>
      <c r="F224" s="137" t="str">
        <f t="shared" si="10"/>
        <v/>
      </c>
      <c r="G224" s="140"/>
      <c r="H224" s="141"/>
      <c r="I224" s="137" t="str">
        <f t="shared" si="11"/>
        <v/>
      </c>
    </row>
    <row r="225" spans="1:9">
      <c r="A225" s="140" t="s">
        <v>1024</v>
      </c>
      <c r="B225" s="141">
        <v>43050</v>
      </c>
      <c r="C225" s="137" t="str">
        <f t="shared" si="9"/>
        <v>(토)</v>
      </c>
      <c r="D225" s="140"/>
      <c r="E225" s="141"/>
      <c r="F225" s="137" t="str">
        <f t="shared" si="10"/>
        <v/>
      </c>
      <c r="G225" s="140"/>
      <c r="H225" s="141"/>
      <c r="I225" s="137" t="str">
        <f t="shared" si="11"/>
        <v/>
      </c>
    </row>
    <row r="226" spans="1:9">
      <c r="A226" s="140" t="s">
        <v>1024</v>
      </c>
      <c r="B226" s="141">
        <v>43051</v>
      </c>
      <c r="C226" s="137" t="str">
        <f t="shared" si="9"/>
        <v>(일)</v>
      </c>
      <c r="D226" s="140"/>
      <c r="E226" s="141"/>
      <c r="F226" s="137" t="str">
        <f t="shared" si="10"/>
        <v/>
      </c>
      <c r="G226" s="140"/>
      <c r="H226" s="141"/>
      <c r="I226" s="137" t="str">
        <f t="shared" si="11"/>
        <v/>
      </c>
    </row>
    <row r="227" spans="1:9">
      <c r="A227" s="140" t="s">
        <v>1024</v>
      </c>
      <c r="B227" s="141">
        <v>43057</v>
      </c>
      <c r="C227" s="137" t="str">
        <f t="shared" si="9"/>
        <v>(토)</v>
      </c>
      <c r="D227" s="140"/>
      <c r="E227" s="141"/>
      <c r="F227" s="137" t="str">
        <f t="shared" si="10"/>
        <v/>
      </c>
      <c r="G227" s="140"/>
      <c r="H227" s="141"/>
      <c r="I227" s="137" t="str">
        <f t="shared" si="11"/>
        <v/>
      </c>
    </row>
    <row r="228" spans="1:9">
      <c r="A228" s="140" t="s">
        <v>1024</v>
      </c>
      <c r="B228" s="141">
        <v>43058</v>
      </c>
      <c r="C228" s="137" t="str">
        <f t="shared" si="9"/>
        <v>(일)</v>
      </c>
      <c r="D228" s="140"/>
      <c r="E228" s="141"/>
      <c r="F228" s="137" t="str">
        <f t="shared" si="10"/>
        <v/>
      </c>
      <c r="G228" s="140"/>
      <c r="H228" s="141"/>
      <c r="I228" s="137" t="str">
        <f t="shared" si="11"/>
        <v/>
      </c>
    </row>
    <row r="229" spans="1:9">
      <c r="A229" s="140" t="s">
        <v>1024</v>
      </c>
      <c r="B229" s="141">
        <v>43064</v>
      </c>
      <c r="C229" s="137" t="str">
        <f t="shared" si="9"/>
        <v>(토)</v>
      </c>
      <c r="D229" s="140"/>
      <c r="E229" s="141"/>
      <c r="F229" s="137" t="str">
        <f t="shared" si="10"/>
        <v/>
      </c>
      <c r="G229" s="140"/>
      <c r="H229" s="141"/>
      <c r="I229" s="137" t="str">
        <f t="shared" si="11"/>
        <v/>
      </c>
    </row>
    <row r="230" spans="1:9">
      <c r="A230" s="140" t="s">
        <v>1024</v>
      </c>
      <c r="B230" s="141">
        <v>43065</v>
      </c>
      <c r="C230" s="137" t="str">
        <f t="shared" si="9"/>
        <v>(일)</v>
      </c>
      <c r="D230" s="140"/>
      <c r="E230" s="141"/>
      <c r="F230" s="137" t="str">
        <f t="shared" si="10"/>
        <v/>
      </c>
      <c r="G230" s="140"/>
      <c r="H230" s="141"/>
      <c r="I230" s="137" t="str">
        <f t="shared" si="11"/>
        <v/>
      </c>
    </row>
    <row r="231" spans="1:9">
      <c r="A231" s="140" t="s">
        <v>1025</v>
      </c>
      <c r="B231" s="141">
        <v>43071</v>
      </c>
      <c r="C231" s="137" t="str">
        <f t="shared" si="9"/>
        <v>(토)</v>
      </c>
      <c r="D231" s="140"/>
      <c r="E231" s="141"/>
      <c r="F231" s="137" t="str">
        <f t="shared" si="10"/>
        <v/>
      </c>
      <c r="G231" s="140"/>
      <c r="H231" s="141"/>
      <c r="I231" s="137" t="str">
        <f t="shared" si="11"/>
        <v/>
      </c>
    </row>
    <row r="232" spans="1:9">
      <c r="A232" s="140" t="s">
        <v>1025</v>
      </c>
      <c r="B232" s="141">
        <v>43072</v>
      </c>
      <c r="C232" s="137" t="str">
        <f t="shared" si="9"/>
        <v>(일)</v>
      </c>
      <c r="D232" s="140"/>
      <c r="E232" s="141"/>
      <c r="F232" s="137" t="str">
        <f t="shared" si="10"/>
        <v/>
      </c>
      <c r="G232" s="140"/>
      <c r="H232" s="141"/>
      <c r="I232" s="137" t="str">
        <f t="shared" si="11"/>
        <v/>
      </c>
    </row>
    <row r="233" spans="1:9">
      <c r="A233" s="140" t="s">
        <v>1025</v>
      </c>
      <c r="B233" s="141">
        <v>43078</v>
      </c>
      <c r="C233" s="137" t="str">
        <f t="shared" si="9"/>
        <v>(토)</v>
      </c>
      <c r="D233" s="140"/>
      <c r="E233" s="141"/>
      <c r="F233" s="137" t="str">
        <f t="shared" si="10"/>
        <v/>
      </c>
      <c r="G233" s="140"/>
      <c r="H233" s="141"/>
      <c r="I233" s="137" t="str">
        <f t="shared" si="11"/>
        <v/>
      </c>
    </row>
    <row r="234" spans="1:9">
      <c r="A234" s="140" t="s">
        <v>1025</v>
      </c>
      <c r="B234" s="141">
        <v>43079</v>
      </c>
      <c r="C234" s="137" t="str">
        <f t="shared" si="9"/>
        <v>(일)</v>
      </c>
      <c r="D234" s="140"/>
      <c r="E234" s="141"/>
      <c r="F234" s="137" t="str">
        <f t="shared" si="10"/>
        <v/>
      </c>
      <c r="G234" s="140"/>
      <c r="H234" s="141"/>
      <c r="I234" s="137" t="str">
        <f t="shared" si="11"/>
        <v/>
      </c>
    </row>
    <row r="235" spans="1:9">
      <c r="A235" s="140" t="s">
        <v>1025</v>
      </c>
      <c r="B235" s="141">
        <v>43085</v>
      </c>
      <c r="C235" s="137" t="str">
        <f t="shared" si="9"/>
        <v>(토)</v>
      </c>
      <c r="D235" s="140"/>
      <c r="E235" s="141"/>
      <c r="F235" s="137" t="str">
        <f t="shared" si="10"/>
        <v/>
      </c>
      <c r="G235" s="140"/>
      <c r="H235" s="141"/>
      <c r="I235" s="137" t="str">
        <f t="shared" si="11"/>
        <v/>
      </c>
    </row>
    <row r="236" spans="1:9">
      <c r="A236" s="140" t="s">
        <v>1025</v>
      </c>
      <c r="B236" s="141">
        <v>43086</v>
      </c>
      <c r="C236" s="137" t="str">
        <f t="shared" si="9"/>
        <v>(일)</v>
      </c>
      <c r="D236" s="140"/>
      <c r="E236" s="141"/>
      <c r="F236" s="137" t="str">
        <f t="shared" si="10"/>
        <v/>
      </c>
      <c r="G236" s="140"/>
      <c r="H236" s="141"/>
      <c r="I236" s="137" t="str">
        <f t="shared" si="11"/>
        <v/>
      </c>
    </row>
    <row r="237" spans="1:9">
      <c r="A237" s="140" t="s">
        <v>1025</v>
      </c>
      <c r="B237" s="141">
        <v>43092</v>
      </c>
      <c r="C237" s="137" t="str">
        <f t="shared" si="9"/>
        <v>(토)</v>
      </c>
      <c r="D237" s="140"/>
      <c r="E237" s="141"/>
      <c r="F237" s="137" t="str">
        <f t="shared" si="10"/>
        <v/>
      </c>
      <c r="G237" s="140"/>
      <c r="H237" s="141"/>
      <c r="I237" s="137" t="str">
        <f t="shared" si="11"/>
        <v/>
      </c>
    </row>
    <row r="238" spans="1:9">
      <c r="A238" s="140" t="s">
        <v>1025</v>
      </c>
      <c r="B238" s="141">
        <v>43093</v>
      </c>
      <c r="C238" s="137" t="str">
        <f t="shared" si="9"/>
        <v>(일)</v>
      </c>
      <c r="D238" s="140"/>
      <c r="E238" s="141"/>
      <c r="F238" s="137" t="str">
        <f t="shared" si="10"/>
        <v/>
      </c>
      <c r="G238" s="140"/>
      <c r="H238" s="141"/>
      <c r="I238" s="137" t="str">
        <f t="shared" si="11"/>
        <v/>
      </c>
    </row>
    <row r="239" spans="1:9">
      <c r="A239" s="140" t="s">
        <v>1026</v>
      </c>
      <c r="B239" s="141">
        <v>43094</v>
      </c>
      <c r="C239" s="137" t="str">
        <f t="shared" si="9"/>
        <v>(월)</v>
      </c>
      <c r="D239" s="140"/>
      <c r="E239" s="141"/>
      <c r="F239" s="137" t="str">
        <f t="shared" si="10"/>
        <v/>
      </c>
      <c r="G239" s="140"/>
      <c r="H239" s="141"/>
      <c r="I239" s="137" t="str">
        <f t="shared" si="11"/>
        <v/>
      </c>
    </row>
    <row r="240" spans="1:9">
      <c r="A240" s="140" t="s">
        <v>1025</v>
      </c>
      <c r="B240" s="141">
        <v>43099</v>
      </c>
      <c r="C240" s="137" t="str">
        <f t="shared" si="9"/>
        <v>(토)</v>
      </c>
      <c r="D240" s="140"/>
      <c r="E240" s="141"/>
      <c r="F240" s="137" t="str">
        <f t="shared" si="10"/>
        <v/>
      </c>
      <c r="G240" s="140"/>
      <c r="H240" s="141"/>
      <c r="I240" s="137" t="str">
        <f t="shared" si="11"/>
        <v/>
      </c>
    </row>
    <row r="241" spans="1:9">
      <c r="A241" s="140" t="s">
        <v>1025</v>
      </c>
      <c r="B241" s="141">
        <v>43100</v>
      </c>
      <c r="C241" s="137" t="str">
        <f t="shared" si="9"/>
        <v>(일)</v>
      </c>
      <c r="D241" s="140"/>
      <c r="E241" s="141"/>
      <c r="F241" s="137" t="str">
        <f t="shared" si="10"/>
        <v/>
      </c>
      <c r="G241" s="140"/>
      <c r="H241" s="141"/>
      <c r="I241" s="137" t="str">
        <f t="shared" si="11"/>
        <v/>
      </c>
    </row>
    <row r="242" spans="1:9">
      <c r="A242" s="140"/>
      <c r="B242" s="141"/>
      <c r="C242" s="137" t="str">
        <f t="shared" si="9"/>
        <v/>
      </c>
      <c r="D242" s="140"/>
      <c r="E242" s="141"/>
      <c r="F242" s="137" t="str">
        <f t="shared" si="10"/>
        <v/>
      </c>
      <c r="G242" s="140"/>
      <c r="H242" s="141"/>
      <c r="I242" s="137" t="str">
        <f t="shared" si="11"/>
        <v/>
      </c>
    </row>
    <row r="243" spans="1:9">
      <c r="A243" s="140"/>
      <c r="B243" s="141"/>
      <c r="C243" s="137" t="str">
        <f t="shared" si="9"/>
        <v/>
      </c>
      <c r="D243" s="140"/>
      <c r="E243" s="141"/>
      <c r="F243" s="137" t="str">
        <f t="shared" si="10"/>
        <v/>
      </c>
      <c r="G243" s="140"/>
      <c r="H243" s="141"/>
      <c r="I243" s="137" t="str">
        <f t="shared" si="11"/>
        <v/>
      </c>
    </row>
    <row r="244" spans="1:9">
      <c r="A244" s="140"/>
      <c r="B244" s="141"/>
      <c r="C244" s="137" t="str">
        <f t="shared" si="9"/>
        <v/>
      </c>
      <c r="D244" s="140"/>
      <c r="E244" s="141"/>
      <c r="F244" s="137" t="str">
        <f t="shared" si="10"/>
        <v/>
      </c>
      <c r="G244" s="140"/>
      <c r="H244" s="141"/>
      <c r="I244" s="137" t="str">
        <f t="shared" si="11"/>
        <v/>
      </c>
    </row>
    <row r="245" spans="1:9">
      <c r="A245" s="140"/>
      <c r="B245" s="141"/>
      <c r="C245" s="137" t="str">
        <f t="shared" si="9"/>
        <v/>
      </c>
      <c r="D245" s="140"/>
      <c r="E245" s="141"/>
      <c r="F245" s="137" t="str">
        <f t="shared" si="10"/>
        <v/>
      </c>
      <c r="G245" s="140"/>
      <c r="H245" s="141"/>
      <c r="I245" s="137" t="str">
        <f t="shared" si="11"/>
        <v/>
      </c>
    </row>
    <row r="246" spans="1:9">
      <c r="A246" s="140"/>
      <c r="B246" s="141"/>
      <c r="C246" s="137" t="str">
        <f t="shared" si="9"/>
        <v/>
      </c>
      <c r="D246" s="140"/>
      <c r="E246" s="141"/>
      <c r="F246" s="137" t="str">
        <f t="shared" si="10"/>
        <v/>
      </c>
      <c r="G246" s="140"/>
      <c r="H246" s="141"/>
      <c r="I246" s="137" t="str">
        <f t="shared" si="11"/>
        <v/>
      </c>
    </row>
    <row r="247" spans="1:9">
      <c r="A247" s="140"/>
      <c r="B247" s="141"/>
      <c r="C247" s="137" t="str">
        <f t="shared" si="9"/>
        <v/>
      </c>
      <c r="D247" s="140"/>
      <c r="E247" s="141"/>
      <c r="F247" s="137" t="str">
        <f t="shared" si="10"/>
        <v/>
      </c>
      <c r="G247" s="140"/>
      <c r="H247" s="141"/>
      <c r="I247" s="137" t="str">
        <f t="shared" si="11"/>
        <v/>
      </c>
    </row>
    <row r="248" spans="1:9">
      <c r="A248" s="140"/>
      <c r="B248" s="141"/>
      <c r="C248" s="137" t="str">
        <f t="shared" si="9"/>
        <v/>
      </c>
      <c r="D248" s="140"/>
      <c r="E248" s="141"/>
      <c r="F248" s="137" t="str">
        <f t="shared" si="10"/>
        <v/>
      </c>
      <c r="G248" s="140"/>
      <c r="H248" s="141"/>
      <c r="I248" s="137" t="str">
        <f t="shared" si="11"/>
        <v/>
      </c>
    </row>
    <row r="249" spans="1:9">
      <c r="A249" s="140"/>
      <c r="B249" s="141"/>
      <c r="C249" s="137" t="str">
        <f t="shared" si="9"/>
        <v/>
      </c>
      <c r="D249" s="140"/>
      <c r="E249" s="141"/>
      <c r="F249" s="137" t="str">
        <f t="shared" si="10"/>
        <v/>
      </c>
      <c r="G249" s="140"/>
      <c r="H249" s="141"/>
      <c r="I249" s="137" t="str">
        <f t="shared" si="11"/>
        <v/>
      </c>
    </row>
    <row r="250" spans="1:9">
      <c r="A250" s="140"/>
      <c r="B250" s="141"/>
      <c r="C250" s="137" t="str">
        <f t="shared" si="9"/>
        <v/>
      </c>
      <c r="D250" s="140"/>
      <c r="E250" s="141"/>
      <c r="F250" s="137" t="str">
        <f t="shared" si="10"/>
        <v/>
      </c>
      <c r="G250" s="140"/>
      <c r="H250" s="141"/>
      <c r="I250" s="137" t="str">
        <f t="shared" si="11"/>
        <v/>
      </c>
    </row>
    <row r="251" spans="1:9">
      <c r="A251" s="140"/>
      <c r="B251" s="141"/>
      <c r="C251" s="137" t="str">
        <f t="shared" si="9"/>
        <v/>
      </c>
      <c r="D251" s="140"/>
      <c r="E251" s="141"/>
      <c r="F251" s="137" t="str">
        <f t="shared" si="10"/>
        <v/>
      </c>
      <c r="G251" s="140"/>
      <c r="H251" s="141"/>
      <c r="I251" s="137" t="str">
        <f t="shared" si="11"/>
        <v/>
      </c>
    </row>
    <row r="252" spans="1:9">
      <c r="A252" s="140"/>
      <c r="B252" s="141"/>
      <c r="C252" s="137" t="str">
        <f t="shared" si="9"/>
        <v/>
      </c>
      <c r="D252" s="140"/>
      <c r="E252" s="141"/>
      <c r="F252" s="137" t="str">
        <f t="shared" si="10"/>
        <v/>
      </c>
      <c r="G252" s="140"/>
      <c r="H252" s="141"/>
      <c r="I252" s="137" t="str">
        <f t="shared" si="11"/>
        <v/>
      </c>
    </row>
    <row r="253" spans="1:9">
      <c r="A253" s="140"/>
      <c r="B253" s="141"/>
      <c r="C253" s="137" t="str">
        <f t="shared" si="9"/>
        <v/>
      </c>
      <c r="D253" s="140"/>
      <c r="E253" s="141"/>
      <c r="F253" s="137" t="str">
        <f t="shared" si="10"/>
        <v/>
      </c>
      <c r="G253" s="140"/>
      <c r="H253" s="141"/>
      <c r="I253" s="137" t="str">
        <f t="shared" si="11"/>
        <v/>
      </c>
    </row>
    <row r="254" spans="1:9">
      <c r="A254" s="140"/>
      <c r="B254" s="141"/>
      <c r="C254" s="137" t="str">
        <f t="shared" si="9"/>
        <v/>
      </c>
      <c r="D254" s="140"/>
      <c r="E254" s="141"/>
      <c r="F254" s="137" t="str">
        <f t="shared" si="10"/>
        <v/>
      </c>
      <c r="G254" s="140"/>
      <c r="H254" s="141"/>
      <c r="I254" s="137" t="str">
        <f t="shared" si="11"/>
        <v/>
      </c>
    </row>
    <row r="255" spans="1:9">
      <c r="A255" s="140"/>
      <c r="B255" s="141"/>
      <c r="C255" s="137" t="str">
        <f t="shared" si="9"/>
        <v/>
      </c>
      <c r="D255" s="140"/>
      <c r="E255" s="141"/>
      <c r="F255" s="137" t="str">
        <f t="shared" si="10"/>
        <v/>
      </c>
      <c r="G255" s="140"/>
      <c r="H255" s="141"/>
      <c r="I255" s="137" t="str">
        <f t="shared" si="11"/>
        <v/>
      </c>
    </row>
    <row r="256" spans="1:9">
      <c r="A256" s="140"/>
      <c r="B256" s="141"/>
      <c r="C256" s="137" t="str">
        <f t="shared" si="9"/>
        <v/>
      </c>
      <c r="D256" s="140"/>
      <c r="E256" s="141"/>
      <c r="F256" s="137" t="str">
        <f t="shared" si="10"/>
        <v/>
      </c>
      <c r="G256" s="140"/>
      <c r="H256" s="141"/>
      <c r="I256" s="137" t="str">
        <f t="shared" si="11"/>
        <v/>
      </c>
    </row>
    <row r="257" spans="1:9">
      <c r="A257" s="140"/>
      <c r="B257" s="141"/>
      <c r="C257" s="137" t="str">
        <f t="shared" si="9"/>
        <v/>
      </c>
      <c r="D257" s="140"/>
      <c r="E257" s="141"/>
      <c r="F257" s="137" t="str">
        <f t="shared" si="10"/>
        <v/>
      </c>
      <c r="G257" s="140"/>
      <c r="H257" s="141"/>
      <c r="I257" s="137" t="str">
        <f t="shared" si="11"/>
        <v/>
      </c>
    </row>
    <row r="258" spans="1:9">
      <c r="A258" s="140"/>
      <c r="B258" s="141"/>
      <c r="C258" s="137" t="str">
        <f t="shared" si="9"/>
        <v/>
      </c>
      <c r="D258" s="140"/>
      <c r="E258" s="141"/>
      <c r="F258" s="137" t="str">
        <f t="shared" si="10"/>
        <v/>
      </c>
      <c r="G258" s="140"/>
      <c r="H258" s="141"/>
      <c r="I258" s="137" t="str">
        <f t="shared" si="11"/>
        <v/>
      </c>
    </row>
    <row r="259" spans="1:9">
      <c r="A259" s="140"/>
      <c r="B259" s="141"/>
      <c r="C259" s="137" t="str">
        <f t="shared" si="9"/>
        <v/>
      </c>
      <c r="D259" s="140"/>
      <c r="E259" s="141"/>
      <c r="F259" s="137" t="str">
        <f t="shared" si="10"/>
        <v/>
      </c>
      <c r="G259" s="140"/>
      <c r="H259" s="141"/>
      <c r="I259" s="137" t="str">
        <f t="shared" si="11"/>
        <v/>
      </c>
    </row>
    <row r="260" spans="1:9">
      <c r="A260" s="140"/>
      <c r="B260" s="141"/>
      <c r="C260" s="137" t="str">
        <f t="shared" si="9"/>
        <v/>
      </c>
      <c r="D260" s="140"/>
      <c r="E260" s="141"/>
      <c r="F260" s="137" t="str">
        <f t="shared" si="10"/>
        <v/>
      </c>
      <c r="G260" s="140"/>
      <c r="H260" s="141"/>
      <c r="I260" s="137" t="str">
        <f t="shared" si="11"/>
        <v/>
      </c>
    </row>
    <row r="261" spans="1:9">
      <c r="A261" s="140"/>
      <c r="B261" s="141"/>
      <c r="C261" s="137" t="str">
        <f t="shared" ref="C261:C304" si="12">IF(B261&gt;0,TEXT(B261,"(aaa)"),"")</f>
        <v/>
      </c>
      <c r="D261" s="140"/>
      <c r="E261" s="141"/>
      <c r="F261" s="137" t="str">
        <f t="shared" ref="F261:F304" si="13">IF(E261&gt;0,TEXT(E261,"(aaa)"),"")</f>
        <v/>
      </c>
      <c r="G261" s="140"/>
      <c r="H261" s="141"/>
      <c r="I261" s="137" t="str">
        <f t="shared" ref="I261:I304" si="14">IF(H261&gt;0,TEXT(H261,"(aaa)"),"")</f>
        <v/>
      </c>
    </row>
    <row r="262" spans="1:9">
      <c r="A262" s="140"/>
      <c r="B262" s="141"/>
      <c r="C262" s="137" t="str">
        <f t="shared" si="12"/>
        <v/>
      </c>
      <c r="D262" s="140"/>
      <c r="E262" s="141"/>
      <c r="F262" s="137" t="str">
        <f t="shared" si="13"/>
        <v/>
      </c>
      <c r="G262" s="140"/>
      <c r="H262" s="141"/>
      <c r="I262" s="137" t="str">
        <f t="shared" si="14"/>
        <v/>
      </c>
    </row>
    <row r="263" spans="1:9">
      <c r="A263" s="140"/>
      <c r="B263" s="141"/>
      <c r="C263" s="137" t="str">
        <f t="shared" si="12"/>
        <v/>
      </c>
      <c r="D263" s="140"/>
      <c r="E263" s="141"/>
      <c r="F263" s="137" t="str">
        <f t="shared" si="13"/>
        <v/>
      </c>
      <c r="G263" s="140"/>
      <c r="H263" s="141"/>
      <c r="I263" s="137" t="str">
        <f t="shared" si="14"/>
        <v/>
      </c>
    </row>
    <row r="264" spans="1:9">
      <c r="A264" s="140"/>
      <c r="B264" s="141"/>
      <c r="C264" s="137" t="str">
        <f t="shared" si="12"/>
        <v/>
      </c>
      <c r="D264" s="140"/>
      <c r="E264" s="141"/>
      <c r="F264" s="137" t="str">
        <f t="shared" si="13"/>
        <v/>
      </c>
      <c r="G264" s="140"/>
      <c r="H264" s="141"/>
      <c r="I264" s="137" t="str">
        <f t="shared" si="14"/>
        <v/>
      </c>
    </row>
    <row r="265" spans="1:9">
      <c r="A265" s="140"/>
      <c r="B265" s="141"/>
      <c r="C265" s="137" t="str">
        <f t="shared" si="12"/>
        <v/>
      </c>
      <c r="D265" s="140"/>
      <c r="E265" s="141"/>
      <c r="F265" s="137" t="str">
        <f t="shared" si="13"/>
        <v/>
      </c>
      <c r="G265" s="140"/>
      <c r="H265" s="141"/>
      <c r="I265" s="137" t="str">
        <f t="shared" si="14"/>
        <v/>
      </c>
    </row>
    <row r="266" spans="1:9">
      <c r="A266" s="140"/>
      <c r="B266" s="141"/>
      <c r="C266" s="137" t="str">
        <f t="shared" si="12"/>
        <v/>
      </c>
      <c r="D266" s="140"/>
      <c r="E266" s="141"/>
      <c r="F266" s="137" t="str">
        <f t="shared" si="13"/>
        <v/>
      </c>
      <c r="G266" s="140"/>
      <c r="H266" s="141"/>
      <c r="I266" s="137" t="str">
        <f t="shared" si="14"/>
        <v/>
      </c>
    </row>
    <row r="267" spans="1:9">
      <c r="A267" s="140"/>
      <c r="B267" s="141"/>
      <c r="C267" s="137" t="str">
        <f t="shared" si="12"/>
        <v/>
      </c>
      <c r="D267" s="140"/>
      <c r="E267" s="141"/>
      <c r="F267" s="137" t="str">
        <f t="shared" si="13"/>
        <v/>
      </c>
      <c r="G267" s="140"/>
      <c r="H267" s="141"/>
      <c r="I267" s="137" t="str">
        <f t="shared" si="14"/>
        <v/>
      </c>
    </row>
    <row r="268" spans="1:9">
      <c r="A268" s="140"/>
      <c r="B268" s="141"/>
      <c r="C268" s="137" t="str">
        <f t="shared" si="12"/>
        <v/>
      </c>
      <c r="D268" s="140"/>
      <c r="E268" s="141"/>
      <c r="F268" s="137" t="str">
        <f t="shared" si="13"/>
        <v/>
      </c>
      <c r="G268" s="140"/>
      <c r="H268" s="141"/>
      <c r="I268" s="137" t="str">
        <f t="shared" si="14"/>
        <v/>
      </c>
    </row>
    <row r="269" spans="1:9">
      <c r="A269" s="140"/>
      <c r="B269" s="141"/>
      <c r="C269" s="137" t="str">
        <f t="shared" si="12"/>
        <v/>
      </c>
      <c r="D269" s="140"/>
      <c r="E269" s="141"/>
      <c r="F269" s="137" t="str">
        <f t="shared" si="13"/>
        <v/>
      </c>
      <c r="G269" s="140"/>
      <c r="H269" s="141"/>
      <c r="I269" s="137" t="str">
        <f t="shared" si="14"/>
        <v/>
      </c>
    </row>
    <row r="270" spans="1:9">
      <c r="A270" s="140"/>
      <c r="B270" s="141"/>
      <c r="C270" s="137" t="str">
        <f t="shared" si="12"/>
        <v/>
      </c>
      <c r="D270" s="140"/>
      <c r="E270" s="141"/>
      <c r="F270" s="137" t="str">
        <f t="shared" si="13"/>
        <v/>
      </c>
      <c r="G270" s="140"/>
      <c r="H270" s="141"/>
      <c r="I270" s="137" t="str">
        <f t="shared" si="14"/>
        <v/>
      </c>
    </row>
    <row r="271" spans="1:9">
      <c r="A271" s="140"/>
      <c r="B271" s="141"/>
      <c r="C271" s="137" t="str">
        <f t="shared" si="12"/>
        <v/>
      </c>
      <c r="D271" s="140"/>
      <c r="E271" s="141"/>
      <c r="F271" s="137" t="str">
        <f t="shared" si="13"/>
        <v/>
      </c>
      <c r="G271" s="140"/>
      <c r="H271" s="141"/>
      <c r="I271" s="137" t="str">
        <f t="shared" si="14"/>
        <v/>
      </c>
    </row>
    <row r="272" spans="1:9">
      <c r="A272" s="140"/>
      <c r="B272" s="141"/>
      <c r="C272" s="137" t="str">
        <f t="shared" si="12"/>
        <v/>
      </c>
      <c r="D272" s="140"/>
      <c r="E272" s="141"/>
      <c r="F272" s="137" t="str">
        <f t="shared" si="13"/>
        <v/>
      </c>
      <c r="G272" s="140"/>
      <c r="H272" s="141"/>
      <c r="I272" s="137" t="str">
        <f t="shared" si="14"/>
        <v/>
      </c>
    </row>
    <row r="273" spans="1:9">
      <c r="A273" s="140"/>
      <c r="B273" s="141"/>
      <c r="C273" s="137" t="str">
        <f t="shared" si="12"/>
        <v/>
      </c>
      <c r="D273" s="140"/>
      <c r="E273" s="141"/>
      <c r="F273" s="137" t="str">
        <f t="shared" si="13"/>
        <v/>
      </c>
      <c r="G273" s="140"/>
      <c r="H273" s="141"/>
      <c r="I273" s="137" t="str">
        <f t="shared" si="14"/>
        <v/>
      </c>
    </row>
    <row r="274" spans="1:9">
      <c r="A274" s="140"/>
      <c r="B274" s="141"/>
      <c r="C274" s="137" t="str">
        <f t="shared" si="12"/>
        <v/>
      </c>
      <c r="D274" s="140"/>
      <c r="E274" s="141"/>
      <c r="F274" s="137" t="str">
        <f t="shared" si="13"/>
        <v/>
      </c>
      <c r="G274" s="140"/>
      <c r="H274" s="141"/>
      <c r="I274" s="137" t="str">
        <f t="shared" si="14"/>
        <v/>
      </c>
    </row>
    <row r="275" spans="1:9">
      <c r="A275" s="140"/>
      <c r="B275" s="141"/>
      <c r="C275" s="137" t="str">
        <f t="shared" si="12"/>
        <v/>
      </c>
      <c r="D275" s="140"/>
      <c r="E275" s="141"/>
      <c r="F275" s="137" t="str">
        <f t="shared" si="13"/>
        <v/>
      </c>
      <c r="G275" s="140"/>
      <c r="H275" s="141"/>
      <c r="I275" s="137" t="str">
        <f t="shared" si="14"/>
        <v/>
      </c>
    </row>
    <row r="276" spans="1:9">
      <c r="A276" s="140"/>
      <c r="B276" s="141"/>
      <c r="C276" s="137" t="str">
        <f t="shared" si="12"/>
        <v/>
      </c>
      <c r="D276" s="140"/>
      <c r="E276" s="141"/>
      <c r="F276" s="137" t="str">
        <f t="shared" si="13"/>
        <v/>
      </c>
      <c r="G276" s="140"/>
      <c r="H276" s="141"/>
      <c r="I276" s="137" t="str">
        <f t="shared" si="14"/>
        <v/>
      </c>
    </row>
    <row r="277" spans="1:9">
      <c r="A277" s="140"/>
      <c r="B277" s="141"/>
      <c r="C277" s="137" t="str">
        <f t="shared" si="12"/>
        <v/>
      </c>
      <c r="D277" s="140"/>
      <c r="E277" s="141"/>
      <c r="F277" s="137" t="str">
        <f t="shared" si="13"/>
        <v/>
      </c>
      <c r="G277" s="140"/>
      <c r="H277" s="141"/>
      <c r="I277" s="137" t="str">
        <f t="shared" si="14"/>
        <v/>
      </c>
    </row>
    <row r="278" spans="1:9">
      <c r="A278" s="140"/>
      <c r="B278" s="141"/>
      <c r="C278" s="137" t="str">
        <f t="shared" si="12"/>
        <v/>
      </c>
      <c r="D278" s="140"/>
      <c r="E278" s="141"/>
      <c r="F278" s="137" t="str">
        <f t="shared" si="13"/>
        <v/>
      </c>
      <c r="G278" s="140"/>
      <c r="H278" s="141"/>
      <c r="I278" s="137" t="str">
        <f t="shared" si="14"/>
        <v/>
      </c>
    </row>
    <row r="279" spans="1:9">
      <c r="A279" s="140"/>
      <c r="B279" s="141"/>
      <c r="C279" s="137" t="str">
        <f t="shared" si="12"/>
        <v/>
      </c>
      <c r="D279" s="140"/>
      <c r="E279" s="141"/>
      <c r="F279" s="137" t="str">
        <f t="shared" si="13"/>
        <v/>
      </c>
      <c r="G279" s="140"/>
      <c r="H279" s="141"/>
      <c r="I279" s="137" t="str">
        <f t="shared" si="14"/>
        <v/>
      </c>
    </row>
    <row r="280" spans="1:9">
      <c r="A280" s="140"/>
      <c r="B280" s="141"/>
      <c r="C280" s="137" t="str">
        <f t="shared" si="12"/>
        <v/>
      </c>
      <c r="D280" s="140"/>
      <c r="E280" s="141"/>
      <c r="F280" s="137" t="str">
        <f t="shared" si="13"/>
        <v/>
      </c>
      <c r="G280" s="140"/>
      <c r="H280" s="141"/>
      <c r="I280" s="137" t="str">
        <f t="shared" si="14"/>
        <v/>
      </c>
    </row>
    <row r="281" spans="1:9">
      <c r="A281" s="140"/>
      <c r="B281" s="141"/>
      <c r="C281" s="137" t="str">
        <f t="shared" si="12"/>
        <v/>
      </c>
      <c r="D281" s="140"/>
      <c r="E281" s="141"/>
      <c r="F281" s="137" t="str">
        <f t="shared" si="13"/>
        <v/>
      </c>
      <c r="G281" s="140"/>
      <c r="H281" s="141"/>
      <c r="I281" s="137" t="str">
        <f t="shared" si="14"/>
        <v/>
      </c>
    </row>
    <row r="282" spans="1:9">
      <c r="A282" s="140"/>
      <c r="B282" s="141"/>
      <c r="C282" s="137" t="str">
        <f t="shared" si="12"/>
        <v/>
      </c>
      <c r="D282" s="140"/>
      <c r="E282" s="141"/>
      <c r="F282" s="137" t="str">
        <f t="shared" si="13"/>
        <v/>
      </c>
      <c r="G282" s="140"/>
      <c r="H282" s="141"/>
      <c r="I282" s="137" t="str">
        <f t="shared" si="14"/>
        <v/>
      </c>
    </row>
    <row r="283" spans="1:9">
      <c r="A283" s="140"/>
      <c r="B283" s="141"/>
      <c r="C283" s="137" t="str">
        <f t="shared" si="12"/>
        <v/>
      </c>
      <c r="D283" s="140"/>
      <c r="E283" s="141"/>
      <c r="F283" s="137" t="str">
        <f t="shared" si="13"/>
        <v/>
      </c>
      <c r="G283" s="140"/>
      <c r="H283" s="141"/>
      <c r="I283" s="137" t="str">
        <f t="shared" si="14"/>
        <v/>
      </c>
    </row>
    <row r="284" spans="1:9">
      <c r="A284" s="140"/>
      <c r="B284" s="141"/>
      <c r="C284" s="137" t="str">
        <f t="shared" si="12"/>
        <v/>
      </c>
      <c r="D284" s="140"/>
      <c r="E284" s="141"/>
      <c r="F284" s="137" t="str">
        <f t="shared" si="13"/>
        <v/>
      </c>
      <c r="G284" s="140"/>
      <c r="H284" s="141"/>
      <c r="I284" s="137" t="str">
        <f t="shared" si="14"/>
        <v/>
      </c>
    </row>
    <row r="285" spans="1:9">
      <c r="A285" s="140"/>
      <c r="B285" s="141"/>
      <c r="C285" s="137" t="str">
        <f t="shared" si="12"/>
        <v/>
      </c>
      <c r="D285" s="140"/>
      <c r="E285" s="141"/>
      <c r="F285" s="137" t="str">
        <f t="shared" si="13"/>
        <v/>
      </c>
      <c r="G285" s="140"/>
      <c r="H285" s="141"/>
      <c r="I285" s="137" t="str">
        <f t="shared" si="14"/>
        <v/>
      </c>
    </row>
    <row r="286" spans="1:9">
      <c r="A286" s="140"/>
      <c r="B286" s="141"/>
      <c r="C286" s="137" t="str">
        <f t="shared" si="12"/>
        <v/>
      </c>
      <c r="D286" s="140"/>
      <c r="E286" s="141"/>
      <c r="F286" s="137" t="str">
        <f t="shared" si="13"/>
        <v/>
      </c>
      <c r="G286" s="140"/>
      <c r="H286" s="141"/>
      <c r="I286" s="137" t="str">
        <f t="shared" si="14"/>
        <v/>
      </c>
    </row>
    <row r="287" spans="1:9">
      <c r="A287" s="140"/>
      <c r="B287" s="141"/>
      <c r="C287" s="137" t="str">
        <f t="shared" si="12"/>
        <v/>
      </c>
      <c r="D287" s="140"/>
      <c r="E287" s="141"/>
      <c r="F287" s="137" t="str">
        <f t="shared" si="13"/>
        <v/>
      </c>
      <c r="G287" s="140"/>
      <c r="H287" s="141"/>
      <c r="I287" s="137" t="str">
        <f t="shared" si="14"/>
        <v/>
      </c>
    </row>
    <row r="288" spans="1:9">
      <c r="A288" s="140"/>
      <c r="B288" s="141"/>
      <c r="C288" s="137" t="str">
        <f t="shared" si="12"/>
        <v/>
      </c>
      <c r="D288" s="140"/>
      <c r="E288" s="141"/>
      <c r="F288" s="137" t="str">
        <f t="shared" si="13"/>
        <v/>
      </c>
      <c r="G288" s="140"/>
      <c r="H288" s="141"/>
      <c r="I288" s="137" t="str">
        <f t="shared" si="14"/>
        <v/>
      </c>
    </row>
    <row r="289" spans="1:9">
      <c r="A289" s="140"/>
      <c r="B289" s="141"/>
      <c r="C289" s="137" t="str">
        <f t="shared" si="12"/>
        <v/>
      </c>
      <c r="D289" s="140"/>
      <c r="E289" s="141"/>
      <c r="F289" s="137" t="str">
        <f t="shared" si="13"/>
        <v/>
      </c>
      <c r="G289" s="140"/>
      <c r="H289" s="141"/>
      <c r="I289" s="137" t="str">
        <f t="shared" si="14"/>
        <v/>
      </c>
    </row>
    <row r="290" spans="1:9">
      <c r="A290" s="140"/>
      <c r="B290" s="141"/>
      <c r="C290" s="137" t="str">
        <f t="shared" si="12"/>
        <v/>
      </c>
      <c r="D290" s="140"/>
      <c r="E290" s="141"/>
      <c r="F290" s="137" t="str">
        <f t="shared" si="13"/>
        <v/>
      </c>
      <c r="G290" s="140"/>
      <c r="H290" s="141"/>
      <c r="I290" s="137" t="str">
        <f t="shared" si="14"/>
        <v/>
      </c>
    </row>
    <row r="291" spans="1:9">
      <c r="A291" s="140"/>
      <c r="B291" s="141"/>
      <c r="C291" s="137" t="str">
        <f t="shared" si="12"/>
        <v/>
      </c>
      <c r="D291" s="140"/>
      <c r="E291" s="141"/>
      <c r="F291" s="137" t="str">
        <f t="shared" si="13"/>
        <v/>
      </c>
      <c r="G291" s="140"/>
      <c r="H291" s="141"/>
      <c r="I291" s="137" t="str">
        <f t="shared" si="14"/>
        <v/>
      </c>
    </row>
    <row r="292" spans="1:9">
      <c r="A292" s="140"/>
      <c r="B292" s="141"/>
      <c r="C292" s="137" t="str">
        <f t="shared" si="12"/>
        <v/>
      </c>
      <c r="D292" s="140"/>
      <c r="E292" s="141"/>
      <c r="F292" s="137" t="str">
        <f t="shared" si="13"/>
        <v/>
      </c>
      <c r="G292" s="140"/>
      <c r="H292" s="141"/>
      <c r="I292" s="137" t="str">
        <f t="shared" si="14"/>
        <v/>
      </c>
    </row>
    <row r="293" spans="1:9">
      <c r="A293" s="140"/>
      <c r="B293" s="141"/>
      <c r="C293" s="137" t="str">
        <f t="shared" si="12"/>
        <v/>
      </c>
      <c r="D293" s="140"/>
      <c r="E293" s="141"/>
      <c r="F293" s="137" t="str">
        <f t="shared" si="13"/>
        <v/>
      </c>
      <c r="G293" s="140"/>
      <c r="H293" s="141"/>
      <c r="I293" s="137" t="str">
        <f t="shared" si="14"/>
        <v/>
      </c>
    </row>
    <row r="294" spans="1:9">
      <c r="A294" s="140"/>
      <c r="B294" s="141"/>
      <c r="C294" s="137" t="str">
        <f t="shared" si="12"/>
        <v/>
      </c>
      <c r="D294" s="140"/>
      <c r="E294" s="141"/>
      <c r="F294" s="137" t="str">
        <f t="shared" si="13"/>
        <v/>
      </c>
      <c r="G294" s="140"/>
      <c r="H294" s="141"/>
      <c r="I294" s="137" t="str">
        <f t="shared" si="14"/>
        <v/>
      </c>
    </row>
    <row r="295" spans="1:9">
      <c r="A295" s="140"/>
      <c r="B295" s="141"/>
      <c r="C295" s="137" t="str">
        <f t="shared" si="12"/>
        <v/>
      </c>
      <c r="D295" s="140"/>
      <c r="E295" s="141"/>
      <c r="F295" s="137" t="str">
        <f t="shared" si="13"/>
        <v/>
      </c>
      <c r="G295" s="140"/>
      <c r="H295" s="141"/>
      <c r="I295" s="137" t="str">
        <f t="shared" si="14"/>
        <v/>
      </c>
    </row>
    <row r="296" spans="1:9">
      <c r="A296" s="140"/>
      <c r="B296" s="141"/>
      <c r="C296" s="137" t="str">
        <f t="shared" si="12"/>
        <v/>
      </c>
      <c r="D296" s="140"/>
      <c r="E296" s="141"/>
      <c r="F296" s="137" t="str">
        <f t="shared" si="13"/>
        <v/>
      </c>
      <c r="G296" s="140"/>
      <c r="H296" s="141"/>
      <c r="I296" s="137" t="str">
        <f t="shared" si="14"/>
        <v/>
      </c>
    </row>
    <row r="297" spans="1:9">
      <c r="A297" s="140"/>
      <c r="B297" s="141"/>
      <c r="C297" s="137" t="str">
        <f t="shared" si="12"/>
        <v/>
      </c>
      <c r="D297" s="140"/>
      <c r="E297" s="141"/>
      <c r="F297" s="137" t="str">
        <f t="shared" si="13"/>
        <v/>
      </c>
      <c r="G297" s="140"/>
      <c r="H297" s="141"/>
      <c r="I297" s="137" t="str">
        <f t="shared" si="14"/>
        <v/>
      </c>
    </row>
    <row r="298" spans="1:9">
      <c r="A298" s="140"/>
      <c r="B298" s="141"/>
      <c r="C298" s="137" t="str">
        <f t="shared" si="12"/>
        <v/>
      </c>
      <c r="D298" s="140"/>
      <c r="E298" s="141"/>
      <c r="F298" s="137" t="str">
        <f t="shared" si="13"/>
        <v/>
      </c>
      <c r="G298" s="140"/>
      <c r="H298" s="141"/>
      <c r="I298" s="137" t="str">
        <f t="shared" si="14"/>
        <v/>
      </c>
    </row>
    <row r="299" spans="1:9">
      <c r="A299" s="140"/>
      <c r="B299" s="141"/>
      <c r="C299" s="137" t="str">
        <f t="shared" si="12"/>
        <v/>
      </c>
      <c r="D299" s="140"/>
      <c r="E299" s="141"/>
      <c r="F299" s="137" t="str">
        <f t="shared" si="13"/>
        <v/>
      </c>
      <c r="G299" s="140"/>
      <c r="H299" s="141"/>
      <c r="I299" s="137" t="str">
        <f t="shared" si="14"/>
        <v/>
      </c>
    </row>
    <row r="300" spans="1:9">
      <c r="A300" s="140"/>
      <c r="B300" s="141"/>
      <c r="C300" s="137" t="str">
        <f t="shared" si="12"/>
        <v/>
      </c>
      <c r="D300" s="140"/>
      <c r="E300" s="141"/>
      <c r="F300" s="137" t="str">
        <f t="shared" si="13"/>
        <v/>
      </c>
      <c r="G300" s="140"/>
      <c r="H300" s="141"/>
      <c r="I300" s="137" t="str">
        <f t="shared" si="14"/>
        <v/>
      </c>
    </row>
    <row r="301" spans="1:9">
      <c r="A301" s="140"/>
      <c r="B301" s="141"/>
      <c r="C301" s="137" t="str">
        <f t="shared" si="12"/>
        <v/>
      </c>
      <c r="D301" s="140"/>
      <c r="E301" s="141"/>
      <c r="F301" s="137" t="str">
        <f t="shared" si="13"/>
        <v/>
      </c>
      <c r="G301" s="140"/>
      <c r="H301" s="141"/>
      <c r="I301" s="137" t="str">
        <f t="shared" si="14"/>
        <v/>
      </c>
    </row>
    <row r="302" spans="1:9">
      <c r="A302" s="140"/>
      <c r="B302" s="143"/>
      <c r="C302" s="137" t="str">
        <f t="shared" si="12"/>
        <v/>
      </c>
      <c r="D302" s="140"/>
      <c r="E302" s="143"/>
      <c r="F302" s="137" t="str">
        <f t="shared" si="13"/>
        <v/>
      </c>
      <c r="G302" s="140"/>
      <c r="H302" s="143"/>
      <c r="I302" s="137" t="str">
        <f t="shared" si="14"/>
        <v/>
      </c>
    </row>
    <row r="303" spans="1:9">
      <c r="A303" s="140"/>
      <c r="B303" s="143"/>
      <c r="C303" s="137" t="str">
        <f t="shared" si="12"/>
        <v/>
      </c>
      <c r="D303" s="140"/>
      <c r="E303" s="143"/>
      <c r="F303" s="137" t="str">
        <f t="shared" si="13"/>
        <v/>
      </c>
      <c r="G303" s="140"/>
      <c r="H303" s="143"/>
      <c r="I303" s="137" t="str">
        <f t="shared" si="14"/>
        <v/>
      </c>
    </row>
    <row r="304" spans="1:9">
      <c r="A304" s="140"/>
      <c r="B304" s="143"/>
      <c r="C304" s="137" t="str">
        <f t="shared" si="12"/>
        <v/>
      </c>
      <c r="D304" s="140"/>
      <c r="E304" s="143"/>
      <c r="F304" s="137" t="str">
        <f t="shared" si="13"/>
        <v/>
      </c>
      <c r="G304" s="140"/>
      <c r="H304" s="143"/>
      <c r="I304" s="137" t="str">
        <f t="shared" si="14"/>
        <v/>
      </c>
    </row>
    <row r="305" spans="1:7">
      <c r="A305" s="137" t="s">
        <v>1114</v>
      </c>
      <c r="D305" s="137" t="s">
        <v>1114</v>
      </c>
      <c r="G305" s="137" t="s">
        <v>1114</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106"/>
  <sheetViews>
    <sheetView zoomScale="85" zoomScaleNormal="85" workbookViewId="0">
      <selection activeCell="F11" sqref="F11"/>
    </sheetView>
  </sheetViews>
  <sheetFormatPr defaultColWidth="8.69921875" defaultRowHeight="13.8"/>
  <cols>
    <col min="1" max="1" width="8.69921875" style="130"/>
    <col min="2" max="2" width="8.69921875" style="129"/>
    <col min="3" max="4" width="8.69921875" style="128"/>
    <col min="5" max="5" width="8.69921875" style="129"/>
    <col min="6" max="16384" width="8.69921875" style="126"/>
  </cols>
  <sheetData>
    <row r="1" spans="1:8">
      <c r="A1" s="131" t="s">
        <v>323</v>
      </c>
      <c r="B1" s="131" t="s">
        <v>324</v>
      </c>
      <c r="C1" s="127" t="s">
        <v>325</v>
      </c>
      <c r="D1" s="127" t="s">
        <v>326</v>
      </c>
      <c r="E1" s="131" t="s">
        <v>327</v>
      </c>
      <c r="F1" s="131" t="s">
        <v>328</v>
      </c>
      <c r="G1" s="131" t="s">
        <v>329</v>
      </c>
      <c r="H1" s="131" t="s">
        <v>330</v>
      </c>
    </row>
    <row r="2" spans="1:8">
      <c r="A2" s="130" t="s">
        <v>821</v>
      </c>
      <c r="B2" s="129" t="s">
        <v>852</v>
      </c>
      <c r="C2" s="128" t="s">
        <v>331</v>
      </c>
      <c r="D2" s="128">
        <v>42825</v>
      </c>
      <c r="E2" s="132">
        <v>42826</v>
      </c>
      <c r="F2" s="128">
        <v>42825</v>
      </c>
      <c r="G2" s="128">
        <v>42826</v>
      </c>
      <c r="H2" s="126">
        <v>1</v>
      </c>
    </row>
    <row r="3" spans="1:8">
      <c r="A3" s="130" t="s">
        <v>1027</v>
      </c>
      <c r="B3" s="129" t="s">
        <v>856</v>
      </c>
      <c r="C3" s="128" t="s">
        <v>331</v>
      </c>
      <c r="D3" s="128">
        <v>42829</v>
      </c>
      <c r="E3" s="132">
        <v>42835</v>
      </c>
      <c r="F3" s="128">
        <v>42827</v>
      </c>
      <c r="G3" s="128">
        <v>42833</v>
      </c>
      <c r="H3" s="126">
        <v>1.3333333333333333</v>
      </c>
    </row>
    <row r="4" spans="1:8">
      <c r="A4" s="130" t="s">
        <v>1027</v>
      </c>
      <c r="B4" s="129" t="s">
        <v>856</v>
      </c>
      <c r="C4" s="128" t="s">
        <v>951</v>
      </c>
      <c r="D4" s="128">
        <v>42829</v>
      </c>
      <c r="E4" s="132">
        <v>42835</v>
      </c>
      <c r="F4" s="128">
        <v>42827</v>
      </c>
      <c r="G4" s="128">
        <v>42833</v>
      </c>
      <c r="H4" s="126">
        <v>1.3333333333333333</v>
      </c>
    </row>
    <row r="5" spans="1:8">
      <c r="A5" s="130" t="s">
        <v>1027</v>
      </c>
      <c r="B5" s="129" t="s">
        <v>856</v>
      </c>
      <c r="C5" s="128" t="s">
        <v>1059</v>
      </c>
      <c r="D5" s="128">
        <v>42829</v>
      </c>
      <c r="E5" s="132">
        <v>42835</v>
      </c>
      <c r="F5" s="128">
        <v>42827</v>
      </c>
      <c r="G5" s="128">
        <v>42833</v>
      </c>
      <c r="H5" s="126">
        <v>1.3333333333333333</v>
      </c>
    </row>
    <row r="6" spans="1:8">
      <c r="A6" s="130" t="s">
        <v>1027</v>
      </c>
      <c r="B6" s="129" t="s">
        <v>856</v>
      </c>
      <c r="C6" s="128" t="s">
        <v>331</v>
      </c>
      <c r="D6" s="128">
        <v>42829</v>
      </c>
      <c r="E6" s="132">
        <v>42835</v>
      </c>
      <c r="F6" s="128">
        <v>42834</v>
      </c>
      <c r="G6" s="128">
        <v>42840</v>
      </c>
      <c r="H6" s="126">
        <v>0.33333333333333331</v>
      </c>
    </row>
    <row r="7" spans="1:8">
      <c r="A7" s="130" t="s">
        <v>1027</v>
      </c>
      <c r="B7" s="129" t="s">
        <v>856</v>
      </c>
      <c r="C7" s="128" t="s">
        <v>951</v>
      </c>
      <c r="D7" s="128">
        <v>42829</v>
      </c>
      <c r="E7" s="132">
        <v>42835</v>
      </c>
      <c r="F7" s="128">
        <v>42834</v>
      </c>
      <c r="G7" s="128">
        <v>42840</v>
      </c>
      <c r="H7" s="126">
        <v>0.33333333333333331</v>
      </c>
    </row>
    <row r="8" spans="1:8">
      <c r="A8" s="130" t="s">
        <v>1027</v>
      </c>
      <c r="B8" s="129" t="s">
        <v>856</v>
      </c>
      <c r="C8" s="128" t="s">
        <v>1059</v>
      </c>
      <c r="D8" s="128">
        <v>42829</v>
      </c>
      <c r="E8" s="132">
        <v>42835</v>
      </c>
      <c r="F8" s="128">
        <v>42834</v>
      </c>
      <c r="G8" s="128">
        <v>42840</v>
      </c>
      <c r="H8" s="126">
        <v>0.33333333333333331</v>
      </c>
    </row>
    <row r="9" spans="1:8">
      <c r="A9" s="130" t="s">
        <v>1028</v>
      </c>
      <c r="B9" s="129" t="s">
        <v>854</v>
      </c>
      <c r="C9" s="128" t="s">
        <v>331</v>
      </c>
      <c r="D9" s="128">
        <v>42847</v>
      </c>
      <c r="E9" s="132">
        <v>42847</v>
      </c>
      <c r="F9" s="128">
        <v>42841</v>
      </c>
      <c r="G9" s="128">
        <v>42847</v>
      </c>
      <c r="H9" s="126">
        <v>0</v>
      </c>
    </row>
    <row r="10" spans="1:8">
      <c r="A10" s="130" t="s">
        <v>1029</v>
      </c>
      <c r="B10" s="129" t="s">
        <v>950</v>
      </c>
      <c r="C10" s="128" t="s">
        <v>951</v>
      </c>
      <c r="D10" s="128">
        <v>42850</v>
      </c>
      <c r="E10" s="132">
        <v>42854</v>
      </c>
      <c r="F10" s="128">
        <v>42848</v>
      </c>
      <c r="G10" s="128">
        <v>42854</v>
      </c>
      <c r="H10" s="126">
        <v>4</v>
      </c>
    </row>
    <row r="11" spans="1:8">
      <c r="A11" s="130" t="s">
        <v>1030</v>
      </c>
      <c r="B11" s="129" t="s">
        <v>952</v>
      </c>
      <c r="C11" s="128" t="s">
        <v>951</v>
      </c>
      <c r="D11" s="128">
        <v>42882</v>
      </c>
      <c r="E11" s="132">
        <v>42882</v>
      </c>
      <c r="F11" s="128">
        <v>42876</v>
      </c>
      <c r="G11" s="128">
        <v>42882</v>
      </c>
      <c r="H11" s="126">
        <v>0</v>
      </c>
    </row>
    <row r="12" spans="1:8">
      <c r="A12" s="130" t="s">
        <v>1031</v>
      </c>
      <c r="B12" s="129" t="s">
        <v>953</v>
      </c>
      <c r="C12" s="128" t="s">
        <v>1104</v>
      </c>
      <c r="D12" s="128">
        <v>42918</v>
      </c>
      <c r="E12" s="132">
        <v>42943</v>
      </c>
      <c r="F12" s="128">
        <v>42918</v>
      </c>
      <c r="G12" s="128">
        <v>42924</v>
      </c>
      <c r="H12" s="126">
        <v>5</v>
      </c>
    </row>
    <row r="13" spans="1:8">
      <c r="A13" s="130" t="s">
        <v>1031</v>
      </c>
      <c r="B13" s="129" t="s">
        <v>953</v>
      </c>
      <c r="C13" s="128" t="s">
        <v>1104</v>
      </c>
      <c r="D13" s="128">
        <v>42918</v>
      </c>
      <c r="E13" s="132">
        <v>42943</v>
      </c>
      <c r="F13" s="128">
        <v>42925</v>
      </c>
      <c r="G13" s="128">
        <v>42931</v>
      </c>
      <c r="H13" s="126">
        <v>5</v>
      </c>
    </row>
    <row r="14" spans="1:8">
      <c r="A14" s="130" t="s">
        <v>1031</v>
      </c>
      <c r="B14" s="129" t="s">
        <v>953</v>
      </c>
      <c r="C14" s="128" t="s">
        <v>1104</v>
      </c>
      <c r="D14" s="128">
        <v>42918</v>
      </c>
      <c r="E14" s="132">
        <v>42943</v>
      </c>
      <c r="F14" s="128">
        <v>42932</v>
      </c>
      <c r="G14" s="128">
        <v>42938</v>
      </c>
      <c r="H14" s="126">
        <v>5</v>
      </c>
    </row>
    <row r="15" spans="1:8">
      <c r="A15" s="130" t="s">
        <v>1031</v>
      </c>
      <c r="B15" s="129" t="s">
        <v>953</v>
      </c>
      <c r="C15" s="128" t="s">
        <v>1104</v>
      </c>
      <c r="D15" s="128">
        <v>42918</v>
      </c>
      <c r="E15" s="132">
        <v>42943</v>
      </c>
      <c r="F15" s="128">
        <v>42939</v>
      </c>
      <c r="G15" s="128">
        <v>42945</v>
      </c>
      <c r="H15" s="126">
        <v>4</v>
      </c>
    </row>
    <row r="16" spans="1:8">
      <c r="A16" s="130" t="s">
        <v>1032</v>
      </c>
      <c r="B16" s="129" t="s">
        <v>954</v>
      </c>
      <c r="C16" s="128" t="s">
        <v>1104</v>
      </c>
      <c r="D16" s="128">
        <v>42847</v>
      </c>
      <c r="E16" s="132">
        <v>42847</v>
      </c>
      <c r="F16" s="128">
        <v>42841</v>
      </c>
      <c r="G16" s="128">
        <v>42847</v>
      </c>
      <c r="H16" s="126">
        <v>0</v>
      </c>
    </row>
    <row r="17" spans="1:8">
      <c r="A17" s="130" t="s">
        <v>1033</v>
      </c>
      <c r="B17" s="129" t="s">
        <v>956</v>
      </c>
      <c r="C17" s="128" t="s">
        <v>331</v>
      </c>
      <c r="D17" s="128">
        <v>42951</v>
      </c>
      <c r="E17" s="132">
        <v>42955</v>
      </c>
      <c r="F17" s="128">
        <v>42946</v>
      </c>
      <c r="G17" s="128">
        <v>42952</v>
      </c>
      <c r="H17" s="126">
        <v>1</v>
      </c>
    </row>
    <row r="18" spans="1:8">
      <c r="A18" s="130" t="s">
        <v>1033</v>
      </c>
      <c r="B18" s="129" t="s">
        <v>956</v>
      </c>
      <c r="C18" s="128" t="s">
        <v>331</v>
      </c>
      <c r="D18" s="128">
        <v>42951</v>
      </c>
      <c r="E18" s="132">
        <v>42955</v>
      </c>
      <c r="F18" s="128">
        <v>42953</v>
      </c>
      <c r="G18" s="128">
        <v>42959</v>
      </c>
      <c r="H18" s="126">
        <v>2</v>
      </c>
    </row>
    <row r="19" spans="1:8">
      <c r="A19" s="130" t="s">
        <v>1034</v>
      </c>
      <c r="B19" s="129" t="s">
        <v>957</v>
      </c>
      <c r="C19" s="128" t="s">
        <v>331</v>
      </c>
      <c r="D19" s="128">
        <v>42958</v>
      </c>
      <c r="E19" s="132">
        <v>42976</v>
      </c>
      <c r="F19" s="128">
        <v>42953</v>
      </c>
      <c r="G19" s="128">
        <v>42959</v>
      </c>
      <c r="H19" s="126">
        <v>1</v>
      </c>
    </row>
    <row r="20" spans="1:8">
      <c r="A20" s="130" t="s">
        <v>1034</v>
      </c>
      <c r="B20" s="129" t="s">
        <v>957</v>
      </c>
      <c r="C20" s="128" t="s">
        <v>331</v>
      </c>
      <c r="D20" s="128">
        <v>42958</v>
      </c>
      <c r="E20" s="132">
        <v>42976</v>
      </c>
      <c r="F20" s="128">
        <v>42960</v>
      </c>
      <c r="G20" s="128">
        <v>42966</v>
      </c>
      <c r="H20" s="126">
        <v>4</v>
      </c>
    </row>
    <row r="21" spans="1:8">
      <c r="A21" s="130" t="s">
        <v>1034</v>
      </c>
      <c r="B21" s="129" t="s">
        <v>957</v>
      </c>
      <c r="C21" s="128" t="s">
        <v>331</v>
      </c>
      <c r="D21" s="128">
        <v>42958</v>
      </c>
      <c r="E21" s="132">
        <v>42976</v>
      </c>
      <c r="F21" s="128">
        <v>42967</v>
      </c>
      <c r="G21" s="128">
        <v>42973</v>
      </c>
      <c r="H21" s="126">
        <v>5</v>
      </c>
    </row>
    <row r="22" spans="1:8">
      <c r="A22" s="130" t="s">
        <v>1034</v>
      </c>
      <c r="B22" s="129" t="s">
        <v>957</v>
      </c>
      <c r="C22" s="128" t="s">
        <v>331</v>
      </c>
      <c r="D22" s="128">
        <v>42958</v>
      </c>
      <c r="E22" s="132">
        <v>42976</v>
      </c>
      <c r="F22" s="128">
        <v>42974</v>
      </c>
      <c r="G22" s="128">
        <v>42980</v>
      </c>
      <c r="H22" s="126">
        <v>2</v>
      </c>
    </row>
    <row r="23" spans="1:8">
      <c r="A23" s="130" t="s">
        <v>1035</v>
      </c>
      <c r="B23" s="129" t="s">
        <v>958</v>
      </c>
      <c r="C23" s="128" t="s">
        <v>331</v>
      </c>
      <c r="D23" s="128">
        <v>42976</v>
      </c>
      <c r="E23" s="132">
        <v>42976</v>
      </c>
      <c r="F23" s="128">
        <v>42974</v>
      </c>
      <c r="G23" s="128">
        <v>42980</v>
      </c>
      <c r="H23" s="126">
        <v>1</v>
      </c>
    </row>
    <row r="24" spans="1:8">
      <c r="A24" s="130" t="s">
        <v>1036</v>
      </c>
      <c r="B24" s="129" t="s">
        <v>959</v>
      </c>
      <c r="C24" s="128" t="s">
        <v>331</v>
      </c>
      <c r="D24" s="128">
        <v>42976</v>
      </c>
      <c r="E24" s="132">
        <v>42976</v>
      </c>
      <c r="F24" s="128">
        <v>42974</v>
      </c>
      <c r="G24" s="128">
        <v>42980</v>
      </c>
      <c r="H24" s="126">
        <v>1</v>
      </c>
    </row>
    <row r="25" spans="1:8">
      <c r="A25" s="130" t="s">
        <v>1037</v>
      </c>
      <c r="B25" s="129" t="s">
        <v>961</v>
      </c>
      <c r="C25" s="128" t="s">
        <v>1060</v>
      </c>
      <c r="D25" s="128">
        <v>42829</v>
      </c>
      <c r="E25" s="132">
        <v>42847</v>
      </c>
      <c r="F25" s="128">
        <v>42827</v>
      </c>
      <c r="G25" s="128">
        <v>42833</v>
      </c>
      <c r="H25" s="126">
        <v>1.3333333333333333</v>
      </c>
    </row>
    <row r="26" spans="1:8">
      <c r="A26" s="130" t="s">
        <v>1037</v>
      </c>
      <c r="B26" s="129" t="s">
        <v>961</v>
      </c>
      <c r="C26" s="128" t="s">
        <v>964</v>
      </c>
      <c r="D26" s="128">
        <v>42829</v>
      </c>
      <c r="E26" s="132">
        <v>42847</v>
      </c>
      <c r="F26" s="128">
        <v>42827</v>
      </c>
      <c r="G26" s="128">
        <v>42833</v>
      </c>
      <c r="H26" s="126">
        <v>1.3333333333333333</v>
      </c>
    </row>
    <row r="27" spans="1:8">
      <c r="A27" s="130" t="s">
        <v>1037</v>
      </c>
      <c r="B27" s="129" t="s">
        <v>961</v>
      </c>
      <c r="C27" s="128" t="s">
        <v>1061</v>
      </c>
      <c r="D27" s="128">
        <v>42829</v>
      </c>
      <c r="E27" s="132">
        <v>42847</v>
      </c>
      <c r="F27" s="128">
        <v>42827</v>
      </c>
      <c r="G27" s="128">
        <v>42833</v>
      </c>
      <c r="H27" s="126">
        <v>1.3333333333333333</v>
      </c>
    </row>
    <row r="28" spans="1:8">
      <c r="A28" s="130" t="s">
        <v>1037</v>
      </c>
      <c r="B28" s="129" t="s">
        <v>961</v>
      </c>
      <c r="C28" s="128" t="s">
        <v>1060</v>
      </c>
      <c r="D28" s="128">
        <v>42829</v>
      </c>
      <c r="E28" s="132">
        <v>42847</v>
      </c>
      <c r="F28" s="128">
        <v>42834</v>
      </c>
      <c r="G28" s="128">
        <v>42840</v>
      </c>
      <c r="H28" s="126">
        <v>1.6666666666666667</v>
      </c>
    </row>
    <row r="29" spans="1:8">
      <c r="A29" s="130" t="s">
        <v>1037</v>
      </c>
      <c r="B29" s="129" t="s">
        <v>961</v>
      </c>
      <c r="C29" s="128" t="s">
        <v>964</v>
      </c>
      <c r="D29" s="128">
        <v>42829</v>
      </c>
      <c r="E29" s="132">
        <v>42847</v>
      </c>
      <c r="F29" s="128">
        <v>42834</v>
      </c>
      <c r="G29" s="128">
        <v>42840</v>
      </c>
      <c r="H29" s="126">
        <v>1.6666666666666667</v>
      </c>
    </row>
    <row r="30" spans="1:8">
      <c r="A30" s="130" t="s">
        <v>1037</v>
      </c>
      <c r="B30" s="129" t="s">
        <v>961</v>
      </c>
      <c r="C30" s="128" t="s">
        <v>1061</v>
      </c>
      <c r="D30" s="128">
        <v>42829</v>
      </c>
      <c r="E30" s="132">
        <v>42847</v>
      </c>
      <c r="F30" s="128">
        <v>42834</v>
      </c>
      <c r="G30" s="128">
        <v>42840</v>
      </c>
      <c r="H30" s="126">
        <v>1.6666666666666667</v>
      </c>
    </row>
    <row r="31" spans="1:8">
      <c r="A31" s="130" t="s">
        <v>1037</v>
      </c>
      <c r="B31" s="129" t="s">
        <v>961</v>
      </c>
      <c r="C31" s="128" t="s">
        <v>1060</v>
      </c>
      <c r="D31" s="128">
        <v>42829</v>
      </c>
      <c r="E31" s="132">
        <v>42847</v>
      </c>
      <c r="F31" s="128">
        <v>42841</v>
      </c>
      <c r="G31" s="128">
        <v>42847</v>
      </c>
      <c r="H31" s="126">
        <v>1.6666666666666667</v>
      </c>
    </row>
    <row r="32" spans="1:8">
      <c r="A32" s="130" t="s">
        <v>1037</v>
      </c>
      <c r="B32" s="129" t="s">
        <v>961</v>
      </c>
      <c r="C32" s="128" t="s">
        <v>964</v>
      </c>
      <c r="D32" s="128">
        <v>42829</v>
      </c>
      <c r="E32" s="132">
        <v>42847</v>
      </c>
      <c r="F32" s="128">
        <v>42841</v>
      </c>
      <c r="G32" s="128">
        <v>42847</v>
      </c>
      <c r="H32" s="126">
        <v>1.6666666666666667</v>
      </c>
    </row>
    <row r="33" spans="1:8">
      <c r="A33" s="130" t="s">
        <v>1037</v>
      </c>
      <c r="B33" s="129" t="s">
        <v>961</v>
      </c>
      <c r="C33" s="128" t="s">
        <v>1061</v>
      </c>
      <c r="D33" s="128">
        <v>42829</v>
      </c>
      <c r="E33" s="132">
        <v>42847</v>
      </c>
      <c r="F33" s="128">
        <v>42841</v>
      </c>
      <c r="G33" s="128">
        <v>42847</v>
      </c>
      <c r="H33" s="126">
        <v>1.6666666666666667</v>
      </c>
    </row>
    <row r="34" spans="1:8">
      <c r="A34" s="130" t="s">
        <v>1038</v>
      </c>
      <c r="B34" s="129" t="s">
        <v>963</v>
      </c>
      <c r="C34" s="128" t="s">
        <v>964</v>
      </c>
      <c r="D34" s="128">
        <v>42835</v>
      </c>
      <c r="E34" s="132">
        <v>42846</v>
      </c>
      <c r="F34" s="128">
        <v>42834</v>
      </c>
      <c r="G34" s="128">
        <v>42840</v>
      </c>
      <c r="H34" s="126">
        <v>5</v>
      </c>
    </row>
    <row r="35" spans="1:8">
      <c r="A35" s="130" t="s">
        <v>1038</v>
      </c>
      <c r="B35" s="129" t="s">
        <v>963</v>
      </c>
      <c r="C35" s="128" t="s">
        <v>964</v>
      </c>
      <c r="D35" s="128">
        <v>42835</v>
      </c>
      <c r="E35" s="132">
        <v>42846</v>
      </c>
      <c r="F35" s="128">
        <v>42841</v>
      </c>
      <c r="G35" s="128">
        <v>42847</v>
      </c>
      <c r="H35" s="126">
        <v>5</v>
      </c>
    </row>
    <row r="36" spans="1:8">
      <c r="A36" s="130" t="s">
        <v>1039</v>
      </c>
      <c r="B36" s="129" t="s">
        <v>965</v>
      </c>
      <c r="C36" s="128" t="s">
        <v>964</v>
      </c>
      <c r="D36" s="128">
        <v>42835</v>
      </c>
      <c r="E36" s="132">
        <v>42846</v>
      </c>
      <c r="F36" s="128">
        <v>42834</v>
      </c>
      <c r="G36" s="128">
        <v>42840</v>
      </c>
      <c r="H36" s="126">
        <v>5</v>
      </c>
    </row>
    <row r="37" spans="1:8">
      <c r="A37" s="130" t="s">
        <v>1039</v>
      </c>
      <c r="B37" s="129" t="s">
        <v>965</v>
      </c>
      <c r="C37" s="128" t="s">
        <v>964</v>
      </c>
      <c r="D37" s="128">
        <v>42835</v>
      </c>
      <c r="E37" s="132">
        <v>42846</v>
      </c>
      <c r="F37" s="128">
        <v>42841</v>
      </c>
      <c r="G37" s="128">
        <v>42847</v>
      </c>
      <c r="H37" s="126">
        <v>5</v>
      </c>
    </row>
    <row r="38" spans="1:8">
      <c r="A38" s="130" t="s">
        <v>1040</v>
      </c>
      <c r="B38" s="129" t="s">
        <v>967</v>
      </c>
      <c r="C38" s="128" t="s">
        <v>968</v>
      </c>
      <c r="D38" s="128">
        <v>42849</v>
      </c>
      <c r="E38" s="132">
        <v>42867</v>
      </c>
      <c r="F38" s="128">
        <v>42848</v>
      </c>
      <c r="G38" s="128">
        <v>42854</v>
      </c>
      <c r="H38" s="126">
        <v>5</v>
      </c>
    </row>
    <row r="39" spans="1:8">
      <c r="A39" s="130" t="s">
        <v>1040</v>
      </c>
      <c r="B39" s="129" t="s">
        <v>967</v>
      </c>
      <c r="C39" s="128" t="s">
        <v>968</v>
      </c>
      <c r="D39" s="128">
        <v>42849</v>
      </c>
      <c r="E39" s="132">
        <v>42867</v>
      </c>
      <c r="F39" s="128">
        <v>42855</v>
      </c>
      <c r="G39" s="128">
        <v>42861</v>
      </c>
      <c r="H39" s="126">
        <v>3</v>
      </c>
    </row>
    <row r="40" spans="1:8">
      <c r="A40" s="130" t="s">
        <v>1040</v>
      </c>
      <c r="B40" s="129" t="s">
        <v>967</v>
      </c>
      <c r="C40" s="128" t="s">
        <v>968</v>
      </c>
      <c r="D40" s="128">
        <v>42849</v>
      </c>
      <c r="E40" s="132">
        <v>42867</v>
      </c>
      <c r="F40" s="128">
        <v>42862</v>
      </c>
      <c r="G40" s="128">
        <v>42868</v>
      </c>
      <c r="H40" s="126">
        <v>4</v>
      </c>
    </row>
    <row r="41" spans="1:8">
      <c r="A41" s="130" t="s">
        <v>1041</v>
      </c>
      <c r="B41" s="129" t="s">
        <v>970</v>
      </c>
      <c r="C41" s="128" t="s">
        <v>971</v>
      </c>
      <c r="D41" s="128">
        <v>42856</v>
      </c>
      <c r="E41" s="132">
        <v>42867</v>
      </c>
      <c r="F41" s="128">
        <v>42855</v>
      </c>
      <c r="G41" s="128">
        <v>42861</v>
      </c>
      <c r="H41" s="126">
        <v>3</v>
      </c>
    </row>
    <row r="42" spans="1:8">
      <c r="A42" s="130" t="s">
        <v>1041</v>
      </c>
      <c r="B42" s="129" t="s">
        <v>970</v>
      </c>
      <c r="C42" s="128" t="s">
        <v>971</v>
      </c>
      <c r="D42" s="128">
        <v>42856</v>
      </c>
      <c r="E42" s="132">
        <v>42867</v>
      </c>
      <c r="F42" s="128">
        <v>42862</v>
      </c>
      <c r="G42" s="128">
        <v>42868</v>
      </c>
      <c r="H42" s="126">
        <v>4</v>
      </c>
    </row>
    <row r="43" spans="1:8">
      <c r="A43" s="130" t="s">
        <v>1042</v>
      </c>
      <c r="B43" s="129" t="s">
        <v>972</v>
      </c>
      <c r="C43" s="128" t="s">
        <v>973</v>
      </c>
      <c r="D43" s="128">
        <v>42863</v>
      </c>
      <c r="E43" s="132">
        <v>42874</v>
      </c>
      <c r="F43" s="128">
        <v>42862</v>
      </c>
      <c r="G43" s="128">
        <v>42868</v>
      </c>
      <c r="H43" s="126">
        <v>4</v>
      </c>
    </row>
    <row r="44" spans="1:8">
      <c r="A44" s="130" t="s">
        <v>1042</v>
      </c>
      <c r="B44" s="129" t="s">
        <v>972</v>
      </c>
      <c r="C44" s="128" t="s">
        <v>973</v>
      </c>
      <c r="D44" s="128">
        <v>42863</v>
      </c>
      <c r="E44" s="132">
        <v>42874</v>
      </c>
      <c r="F44" s="128">
        <v>42869</v>
      </c>
      <c r="G44" s="128">
        <v>42875</v>
      </c>
      <c r="H44" s="126">
        <v>5</v>
      </c>
    </row>
    <row r="45" spans="1:8">
      <c r="A45" s="130" t="s">
        <v>1043</v>
      </c>
      <c r="B45" s="129" t="s">
        <v>974</v>
      </c>
      <c r="C45" s="128" t="s">
        <v>975</v>
      </c>
      <c r="D45" s="128">
        <v>42863</v>
      </c>
      <c r="E45" s="132">
        <v>42881</v>
      </c>
      <c r="F45" s="128">
        <v>42862</v>
      </c>
      <c r="G45" s="128">
        <v>42868</v>
      </c>
      <c r="H45" s="126">
        <v>4</v>
      </c>
    </row>
    <row r="46" spans="1:8">
      <c r="A46" s="130" t="s">
        <v>1043</v>
      </c>
      <c r="B46" s="129" t="s">
        <v>974</v>
      </c>
      <c r="C46" s="128" t="s">
        <v>975</v>
      </c>
      <c r="D46" s="128">
        <v>42863</v>
      </c>
      <c r="E46" s="132">
        <v>42881</v>
      </c>
      <c r="F46" s="128">
        <v>42869</v>
      </c>
      <c r="G46" s="128">
        <v>42875</v>
      </c>
      <c r="H46" s="126">
        <v>5</v>
      </c>
    </row>
    <row r="47" spans="1:8">
      <c r="A47" s="130" t="s">
        <v>1043</v>
      </c>
      <c r="B47" s="129" t="s">
        <v>974</v>
      </c>
      <c r="C47" s="128" t="s">
        <v>975</v>
      </c>
      <c r="D47" s="128">
        <v>42863</v>
      </c>
      <c r="E47" s="132">
        <v>42881</v>
      </c>
      <c r="F47" s="128">
        <v>42876</v>
      </c>
      <c r="G47" s="128">
        <v>42882</v>
      </c>
      <c r="H47" s="126">
        <v>5</v>
      </c>
    </row>
    <row r="48" spans="1:8">
      <c r="A48" s="130" t="s">
        <v>1044</v>
      </c>
      <c r="B48" s="129" t="s">
        <v>976</v>
      </c>
      <c r="C48" s="128" t="s">
        <v>975</v>
      </c>
      <c r="D48" s="128">
        <v>42884</v>
      </c>
      <c r="E48" s="132">
        <v>42888</v>
      </c>
      <c r="F48" s="128">
        <v>42883</v>
      </c>
      <c r="G48" s="128">
        <v>42889</v>
      </c>
      <c r="H48" s="126">
        <v>5</v>
      </c>
    </row>
    <row r="49" spans="1:8">
      <c r="A49" s="130" t="s">
        <v>1045</v>
      </c>
      <c r="B49" s="129" t="s">
        <v>979</v>
      </c>
      <c r="C49" s="128" t="s">
        <v>975</v>
      </c>
      <c r="D49" s="128">
        <v>42884</v>
      </c>
      <c r="E49" s="132">
        <v>42888</v>
      </c>
      <c r="F49" s="128">
        <v>42883</v>
      </c>
      <c r="G49" s="128">
        <v>42889</v>
      </c>
      <c r="H49" s="126">
        <v>5</v>
      </c>
    </row>
    <row r="50" spans="1:8">
      <c r="A50" s="130" t="s">
        <v>1046</v>
      </c>
      <c r="B50" s="129" t="s">
        <v>981</v>
      </c>
      <c r="C50" s="128" t="s">
        <v>982</v>
      </c>
      <c r="D50" s="128">
        <v>42884</v>
      </c>
      <c r="E50" s="132">
        <v>42888</v>
      </c>
      <c r="F50" s="128">
        <v>42883</v>
      </c>
      <c r="G50" s="128">
        <v>42889</v>
      </c>
      <c r="H50" s="126">
        <v>5</v>
      </c>
    </row>
    <row r="51" spans="1:8">
      <c r="A51" s="130" t="s">
        <v>1047</v>
      </c>
      <c r="B51" s="129" t="s">
        <v>983</v>
      </c>
      <c r="C51" s="128" t="s">
        <v>984</v>
      </c>
      <c r="D51" s="128">
        <v>42891</v>
      </c>
      <c r="E51" s="132">
        <v>42895</v>
      </c>
      <c r="F51" s="128">
        <v>42890</v>
      </c>
      <c r="G51" s="128">
        <v>42896</v>
      </c>
      <c r="H51" s="126">
        <v>4</v>
      </c>
    </row>
    <row r="52" spans="1:8">
      <c r="A52" s="130" t="s">
        <v>1048</v>
      </c>
      <c r="B52" s="129" t="s">
        <v>985</v>
      </c>
      <c r="C52" s="128" t="s">
        <v>984</v>
      </c>
      <c r="D52" s="128">
        <v>42891</v>
      </c>
      <c r="E52" s="132">
        <v>42902</v>
      </c>
      <c r="F52" s="128">
        <v>42890</v>
      </c>
      <c r="G52" s="128">
        <v>42896</v>
      </c>
      <c r="H52" s="126">
        <v>4</v>
      </c>
    </row>
    <row r="53" spans="1:8">
      <c r="A53" s="130" t="s">
        <v>1048</v>
      </c>
      <c r="B53" s="129" t="s">
        <v>985</v>
      </c>
      <c r="C53" s="128" t="s">
        <v>984</v>
      </c>
      <c r="D53" s="128">
        <v>42891</v>
      </c>
      <c r="E53" s="132">
        <v>42902</v>
      </c>
      <c r="F53" s="128">
        <v>42897</v>
      </c>
      <c r="G53" s="128">
        <v>42903</v>
      </c>
      <c r="H53" s="126">
        <v>5</v>
      </c>
    </row>
    <row r="54" spans="1:8">
      <c r="A54" s="130" t="s">
        <v>1049</v>
      </c>
      <c r="B54" s="129" t="s">
        <v>986</v>
      </c>
      <c r="C54" s="128" t="s">
        <v>982</v>
      </c>
      <c r="D54" s="128">
        <v>42884</v>
      </c>
      <c r="E54" s="132">
        <v>42943</v>
      </c>
      <c r="F54" s="128">
        <v>42883</v>
      </c>
      <c r="G54" s="128">
        <v>42889</v>
      </c>
      <c r="H54" s="126">
        <v>2.5</v>
      </c>
    </row>
    <row r="55" spans="1:8">
      <c r="A55" s="130" t="s">
        <v>1049</v>
      </c>
      <c r="B55" s="129" t="s">
        <v>986</v>
      </c>
      <c r="C55" s="128" t="s">
        <v>984</v>
      </c>
      <c r="D55" s="128">
        <v>42884</v>
      </c>
      <c r="E55" s="132">
        <v>42943</v>
      </c>
      <c r="F55" s="128">
        <v>42883</v>
      </c>
      <c r="G55" s="128">
        <v>42889</v>
      </c>
      <c r="H55" s="126">
        <v>2.5</v>
      </c>
    </row>
    <row r="56" spans="1:8">
      <c r="A56" s="130" t="s">
        <v>1049</v>
      </c>
      <c r="B56" s="129" t="s">
        <v>986</v>
      </c>
      <c r="C56" s="128" t="s">
        <v>982</v>
      </c>
      <c r="D56" s="128">
        <v>42884</v>
      </c>
      <c r="E56" s="132">
        <v>42943</v>
      </c>
      <c r="F56" s="128">
        <v>42890</v>
      </c>
      <c r="G56" s="128">
        <v>42896</v>
      </c>
      <c r="H56" s="126">
        <v>2</v>
      </c>
    </row>
    <row r="57" spans="1:8">
      <c r="A57" s="130" t="s">
        <v>1049</v>
      </c>
      <c r="B57" s="129" t="s">
        <v>986</v>
      </c>
      <c r="C57" s="128" t="s">
        <v>984</v>
      </c>
      <c r="D57" s="128">
        <v>42884</v>
      </c>
      <c r="E57" s="132">
        <v>42943</v>
      </c>
      <c r="F57" s="128">
        <v>42890</v>
      </c>
      <c r="G57" s="128">
        <v>42896</v>
      </c>
      <c r="H57" s="126">
        <v>2</v>
      </c>
    </row>
    <row r="58" spans="1:8">
      <c r="A58" s="130" t="s">
        <v>1049</v>
      </c>
      <c r="B58" s="129" t="s">
        <v>986</v>
      </c>
      <c r="C58" s="128" t="s">
        <v>982</v>
      </c>
      <c r="D58" s="128">
        <v>42884</v>
      </c>
      <c r="E58" s="132">
        <v>42943</v>
      </c>
      <c r="F58" s="128">
        <v>42897</v>
      </c>
      <c r="G58" s="128">
        <v>42903</v>
      </c>
      <c r="H58" s="126">
        <v>2.5</v>
      </c>
    </row>
    <row r="59" spans="1:8">
      <c r="A59" s="130" t="s">
        <v>1049</v>
      </c>
      <c r="B59" s="129" t="s">
        <v>986</v>
      </c>
      <c r="C59" s="128" t="s">
        <v>984</v>
      </c>
      <c r="D59" s="128">
        <v>42884</v>
      </c>
      <c r="E59" s="132">
        <v>42943</v>
      </c>
      <c r="F59" s="128">
        <v>42897</v>
      </c>
      <c r="G59" s="128">
        <v>42903</v>
      </c>
      <c r="H59" s="126">
        <v>2.5</v>
      </c>
    </row>
    <row r="60" spans="1:8">
      <c r="A60" s="130" t="s">
        <v>1049</v>
      </c>
      <c r="B60" s="129" t="s">
        <v>986</v>
      </c>
      <c r="C60" s="128" t="s">
        <v>982</v>
      </c>
      <c r="D60" s="128">
        <v>42884</v>
      </c>
      <c r="E60" s="132">
        <v>42943</v>
      </c>
      <c r="F60" s="128">
        <v>42904</v>
      </c>
      <c r="G60" s="128">
        <v>42910</v>
      </c>
      <c r="H60" s="126">
        <v>2.5</v>
      </c>
    </row>
    <row r="61" spans="1:8">
      <c r="A61" s="130" t="s">
        <v>1049</v>
      </c>
      <c r="B61" s="129" t="s">
        <v>986</v>
      </c>
      <c r="C61" s="128" t="s">
        <v>984</v>
      </c>
      <c r="D61" s="128">
        <v>42884</v>
      </c>
      <c r="E61" s="132">
        <v>42943</v>
      </c>
      <c r="F61" s="128">
        <v>42904</v>
      </c>
      <c r="G61" s="128">
        <v>42910</v>
      </c>
      <c r="H61" s="126">
        <v>2.5</v>
      </c>
    </row>
    <row r="62" spans="1:8">
      <c r="A62" s="130" t="s">
        <v>1049</v>
      </c>
      <c r="B62" s="129" t="s">
        <v>986</v>
      </c>
      <c r="C62" s="128" t="s">
        <v>982</v>
      </c>
      <c r="D62" s="128">
        <v>42884</v>
      </c>
      <c r="E62" s="132">
        <v>42943</v>
      </c>
      <c r="F62" s="128">
        <v>42911</v>
      </c>
      <c r="G62" s="128">
        <v>42917</v>
      </c>
      <c r="H62" s="126">
        <v>2.5</v>
      </c>
    </row>
    <row r="63" spans="1:8">
      <c r="A63" s="130" t="s">
        <v>1049</v>
      </c>
      <c r="B63" s="129" t="s">
        <v>986</v>
      </c>
      <c r="C63" s="128" t="s">
        <v>984</v>
      </c>
      <c r="D63" s="128">
        <v>42884</v>
      </c>
      <c r="E63" s="132">
        <v>42943</v>
      </c>
      <c r="F63" s="128">
        <v>42911</v>
      </c>
      <c r="G63" s="128">
        <v>42917</v>
      </c>
      <c r="H63" s="126">
        <v>2.5</v>
      </c>
    </row>
    <row r="64" spans="1:8">
      <c r="A64" s="130" t="s">
        <v>1049</v>
      </c>
      <c r="B64" s="129" t="s">
        <v>986</v>
      </c>
      <c r="C64" s="128" t="s">
        <v>982</v>
      </c>
      <c r="D64" s="128">
        <v>42884</v>
      </c>
      <c r="E64" s="132">
        <v>42943</v>
      </c>
      <c r="F64" s="128">
        <v>42918</v>
      </c>
      <c r="G64" s="128">
        <v>42924</v>
      </c>
      <c r="H64" s="126">
        <v>2.5</v>
      </c>
    </row>
    <row r="65" spans="1:8">
      <c r="A65" s="130" t="s">
        <v>1049</v>
      </c>
      <c r="B65" s="129" t="s">
        <v>986</v>
      </c>
      <c r="C65" s="128" t="s">
        <v>984</v>
      </c>
      <c r="D65" s="128">
        <v>42884</v>
      </c>
      <c r="E65" s="132">
        <v>42943</v>
      </c>
      <c r="F65" s="128">
        <v>42918</v>
      </c>
      <c r="G65" s="128">
        <v>42924</v>
      </c>
      <c r="H65" s="126">
        <v>2.5</v>
      </c>
    </row>
    <row r="66" spans="1:8">
      <c r="A66" s="130" t="s">
        <v>1049</v>
      </c>
      <c r="B66" s="129" t="s">
        <v>986</v>
      </c>
      <c r="C66" s="128" t="s">
        <v>982</v>
      </c>
      <c r="D66" s="128">
        <v>42884</v>
      </c>
      <c r="E66" s="132">
        <v>42943</v>
      </c>
      <c r="F66" s="128">
        <v>42925</v>
      </c>
      <c r="G66" s="128">
        <v>42931</v>
      </c>
      <c r="H66" s="126">
        <v>2.5</v>
      </c>
    </row>
    <row r="67" spans="1:8">
      <c r="A67" s="130" t="s">
        <v>1049</v>
      </c>
      <c r="B67" s="129" t="s">
        <v>986</v>
      </c>
      <c r="C67" s="128" t="s">
        <v>984</v>
      </c>
      <c r="D67" s="128">
        <v>42884</v>
      </c>
      <c r="E67" s="132">
        <v>42943</v>
      </c>
      <c r="F67" s="128">
        <v>42925</v>
      </c>
      <c r="G67" s="128">
        <v>42931</v>
      </c>
      <c r="H67" s="126">
        <v>2.5</v>
      </c>
    </row>
    <row r="68" spans="1:8">
      <c r="A68" s="130" t="s">
        <v>1049</v>
      </c>
      <c r="B68" s="129" t="s">
        <v>986</v>
      </c>
      <c r="C68" s="128" t="s">
        <v>982</v>
      </c>
      <c r="D68" s="128">
        <v>42884</v>
      </c>
      <c r="E68" s="132">
        <v>42943</v>
      </c>
      <c r="F68" s="128">
        <v>42932</v>
      </c>
      <c r="G68" s="128">
        <v>42938</v>
      </c>
      <c r="H68" s="126">
        <v>2.5</v>
      </c>
    </row>
    <row r="69" spans="1:8">
      <c r="A69" s="130" t="s">
        <v>1049</v>
      </c>
      <c r="B69" s="129" t="s">
        <v>986</v>
      </c>
      <c r="C69" s="128" t="s">
        <v>984</v>
      </c>
      <c r="D69" s="128">
        <v>42884</v>
      </c>
      <c r="E69" s="132">
        <v>42943</v>
      </c>
      <c r="F69" s="128">
        <v>42932</v>
      </c>
      <c r="G69" s="128">
        <v>42938</v>
      </c>
      <c r="H69" s="126">
        <v>2.5</v>
      </c>
    </row>
    <row r="70" spans="1:8">
      <c r="A70" s="130" t="s">
        <v>1049</v>
      </c>
      <c r="B70" s="129" t="s">
        <v>986</v>
      </c>
      <c r="C70" s="128" t="s">
        <v>982</v>
      </c>
      <c r="D70" s="128">
        <v>42884</v>
      </c>
      <c r="E70" s="132">
        <v>42943</v>
      </c>
      <c r="F70" s="128">
        <v>42939</v>
      </c>
      <c r="G70" s="128">
        <v>42945</v>
      </c>
      <c r="H70" s="126">
        <v>2</v>
      </c>
    </row>
    <row r="71" spans="1:8">
      <c r="A71" s="130" t="s">
        <v>1049</v>
      </c>
      <c r="B71" s="129" t="s">
        <v>986</v>
      </c>
      <c r="C71" s="128" t="s">
        <v>984</v>
      </c>
      <c r="D71" s="128">
        <v>42884</v>
      </c>
      <c r="E71" s="132">
        <v>42943</v>
      </c>
      <c r="F71" s="128">
        <v>42939</v>
      </c>
      <c r="G71" s="128">
        <v>42945</v>
      </c>
      <c r="H71" s="126">
        <v>2</v>
      </c>
    </row>
    <row r="72" spans="1:8">
      <c r="A72" s="130" t="s">
        <v>1050</v>
      </c>
      <c r="B72" s="129" t="s">
        <v>987</v>
      </c>
      <c r="C72" s="128" t="s">
        <v>982</v>
      </c>
      <c r="D72" s="128">
        <v>42884</v>
      </c>
      <c r="E72" s="132">
        <v>42943</v>
      </c>
      <c r="F72" s="128">
        <v>42883</v>
      </c>
      <c r="G72" s="128">
        <v>42889</v>
      </c>
      <c r="H72" s="126">
        <v>5</v>
      </c>
    </row>
    <row r="73" spans="1:8">
      <c r="A73" s="130" t="s">
        <v>1050</v>
      </c>
      <c r="B73" s="129" t="s">
        <v>987</v>
      </c>
      <c r="C73" s="128" t="s">
        <v>982</v>
      </c>
      <c r="D73" s="128">
        <v>42884</v>
      </c>
      <c r="E73" s="132">
        <v>42943</v>
      </c>
      <c r="F73" s="128">
        <v>42890</v>
      </c>
      <c r="G73" s="128">
        <v>42896</v>
      </c>
      <c r="H73" s="126">
        <v>4</v>
      </c>
    </row>
    <row r="74" spans="1:8">
      <c r="A74" s="130" t="s">
        <v>1050</v>
      </c>
      <c r="B74" s="129" t="s">
        <v>987</v>
      </c>
      <c r="C74" s="128" t="s">
        <v>982</v>
      </c>
      <c r="D74" s="128">
        <v>42884</v>
      </c>
      <c r="E74" s="132">
        <v>42943</v>
      </c>
      <c r="F74" s="128">
        <v>42897</v>
      </c>
      <c r="G74" s="128">
        <v>42903</v>
      </c>
      <c r="H74" s="126">
        <v>5</v>
      </c>
    </row>
    <row r="75" spans="1:8">
      <c r="A75" s="130" t="s">
        <v>1050</v>
      </c>
      <c r="B75" s="129" t="s">
        <v>987</v>
      </c>
      <c r="C75" s="128" t="s">
        <v>982</v>
      </c>
      <c r="D75" s="128">
        <v>42884</v>
      </c>
      <c r="E75" s="132">
        <v>42943</v>
      </c>
      <c r="F75" s="128">
        <v>42904</v>
      </c>
      <c r="G75" s="128">
        <v>42910</v>
      </c>
      <c r="H75" s="126">
        <v>5</v>
      </c>
    </row>
    <row r="76" spans="1:8">
      <c r="A76" s="130" t="s">
        <v>1050</v>
      </c>
      <c r="B76" s="129" t="s">
        <v>987</v>
      </c>
      <c r="C76" s="128" t="s">
        <v>982</v>
      </c>
      <c r="D76" s="128">
        <v>42884</v>
      </c>
      <c r="E76" s="132">
        <v>42943</v>
      </c>
      <c r="F76" s="128">
        <v>42911</v>
      </c>
      <c r="G76" s="128">
        <v>42917</v>
      </c>
      <c r="H76" s="126">
        <v>5</v>
      </c>
    </row>
    <row r="77" spans="1:8">
      <c r="A77" s="130" t="s">
        <v>1050</v>
      </c>
      <c r="B77" s="129" t="s">
        <v>987</v>
      </c>
      <c r="C77" s="128" t="s">
        <v>982</v>
      </c>
      <c r="D77" s="128">
        <v>42884</v>
      </c>
      <c r="E77" s="132">
        <v>42943</v>
      </c>
      <c r="F77" s="128">
        <v>42918</v>
      </c>
      <c r="G77" s="128">
        <v>42924</v>
      </c>
      <c r="H77" s="126">
        <v>5</v>
      </c>
    </row>
    <row r="78" spans="1:8">
      <c r="A78" s="130" t="s">
        <v>1050</v>
      </c>
      <c r="B78" s="129" t="s">
        <v>987</v>
      </c>
      <c r="C78" s="128" t="s">
        <v>982</v>
      </c>
      <c r="D78" s="128">
        <v>42884</v>
      </c>
      <c r="E78" s="132">
        <v>42943</v>
      </c>
      <c r="F78" s="128">
        <v>42925</v>
      </c>
      <c r="G78" s="128">
        <v>42931</v>
      </c>
      <c r="H78" s="126">
        <v>5</v>
      </c>
    </row>
    <row r="79" spans="1:8">
      <c r="A79" s="130" t="s">
        <v>1050</v>
      </c>
      <c r="B79" s="129" t="s">
        <v>987</v>
      </c>
      <c r="C79" s="128" t="s">
        <v>982</v>
      </c>
      <c r="D79" s="128">
        <v>42884</v>
      </c>
      <c r="E79" s="132">
        <v>42943</v>
      </c>
      <c r="F79" s="128">
        <v>42932</v>
      </c>
      <c r="G79" s="128">
        <v>42938</v>
      </c>
      <c r="H79" s="126">
        <v>5</v>
      </c>
    </row>
    <row r="80" spans="1:8">
      <c r="A80" s="130" t="s">
        <v>1050</v>
      </c>
      <c r="B80" s="129" t="s">
        <v>987</v>
      </c>
      <c r="C80" s="128" t="s">
        <v>982</v>
      </c>
      <c r="D80" s="128">
        <v>42884</v>
      </c>
      <c r="E80" s="132">
        <v>42943</v>
      </c>
      <c r="F80" s="128">
        <v>42939</v>
      </c>
      <c r="G80" s="128">
        <v>42945</v>
      </c>
      <c r="H80" s="126">
        <v>4</v>
      </c>
    </row>
    <row r="81" spans="1:8">
      <c r="A81" s="130" t="s">
        <v>1051</v>
      </c>
      <c r="B81" s="129" t="s">
        <v>988</v>
      </c>
      <c r="C81" s="128" t="s">
        <v>984</v>
      </c>
      <c r="D81" s="128">
        <v>42898</v>
      </c>
      <c r="E81" s="132">
        <v>42943</v>
      </c>
      <c r="F81" s="128">
        <v>42897</v>
      </c>
      <c r="G81" s="128">
        <v>42903</v>
      </c>
      <c r="H81" s="126">
        <v>5</v>
      </c>
    </row>
    <row r="82" spans="1:8">
      <c r="A82" s="130" t="s">
        <v>1051</v>
      </c>
      <c r="B82" s="129" t="s">
        <v>988</v>
      </c>
      <c r="C82" s="128" t="s">
        <v>984</v>
      </c>
      <c r="D82" s="128">
        <v>42898</v>
      </c>
      <c r="E82" s="132">
        <v>42943</v>
      </c>
      <c r="F82" s="128">
        <v>42904</v>
      </c>
      <c r="G82" s="128">
        <v>42910</v>
      </c>
      <c r="H82" s="126">
        <v>5</v>
      </c>
    </row>
    <row r="83" spans="1:8">
      <c r="A83" s="130" t="s">
        <v>1051</v>
      </c>
      <c r="B83" s="129" t="s">
        <v>988</v>
      </c>
      <c r="C83" s="128" t="s">
        <v>984</v>
      </c>
      <c r="D83" s="128">
        <v>42898</v>
      </c>
      <c r="E83" s="132">
        <v>42943</v>
      </c>
      <c r="F83" s="128">
        <v>42911</v>
      </c>
      <c r="G83" s="128">
        <v>42917</v>
      </c>
      <c r="H83" s="126">
        <v>5</v>
      </c>
    </row>
    <row r="84" spans="1:8">
      <c r="A84" s="130" t="s">
        <v>1051</v>
      </c>
      <c r="B84" s="129" t="s">
        <v>988</v>
      </c>
      <c r="C84" s="128" t="s">
        <v>984</v>
      </c>
      <c r="D84" s="128">
        <v>42898</v>
      </c>
      <c r="E84" s="132">
        <v>42943</v>
      </c>
      <c r="F84" s="128">
        <v>42918</v>
      </c>
      <c r="G84" s="128">
        <v>42924</v>
      </c>
      <c r="H84" s="126">
        <v>5</v>
      </c>
    </row>
    <row r="85" spans="1:8">
      <c r="A85" s="130" t="s">
        <v>1051</v>
      </c>
      <c r="B85" s="129" t="s">
        <v>988</v>
      </c>
      <c r="C85" s="128" t="s">
        <v>984</v>
      </c>
      <c r="D85" s="128">
        <v>42898</v>
      </c>
      <c r="E85" s="132">
        <v>42943</v>
      </c>
      <c r="F85" s="128">
        <v>42925</v>
      </c>
      <c r="G85" s="128">
        <v>42931</v>
      </c>
      <c r="H85" s="126">
        <v>5</v>
      </c>
    </row>
    <row r="86" spans="1:8">
      <c r="A86" s="130" t="s">
        <v>1051</v>
      </c>
      <c r="B86" s="129" t="s">
        <v>988</v>
      </c>
      <c r="C86" s="128" t="s">
        <v>984</v>
      </c>
      <c r="D86" s="128">
        <v>42898</v>
      </c>
      <c r="E86" s="132">
        <v>42943</v>
      </c>
      <c r="F86" s="128">
        <v>42932</v>
      </c>
      <c r="G86" s="128">
        <v>42938</v>
      </c>
      <c r="H86" s="126">
        <v>5</v>
      </c>
    </row>
    <row r="87" spans="1:8">
      <c r="A87" s="130" t="s">
        <v>1051</v>
      </c>
      <c r="B87" s="129" t="s">
        <v>988</v>
      </c>
      <c r="C87" s="128" t="s">
        <v>984</v>
      </c>
      <c r="D87" s="128">
        <v>42898</v>
      </c>
      <c r="E87" s="132">
        <v>42943</v>
      </c>
      <c r="F87" s="128">
        <v>42939</v>
      </c>
      <c r="G87" s="128">
        <v>42945</v>
      </c>
      <c r="H87" s="126">
        <v>4</v>
      </c>
    </row>
    <row r="88" spans="1:8">
      <c r="A88" s="130" t="s">
        <v>1052</v>
      </c>
      <c r="B88" s="129" t="s">
        <v>990</v>
      </c>
      <c r="C88" s="128" t="s">
        <v>975</v>
      </c>
      <c r="D88" s="128">
        <v>42926</v>
      </c>
      <c r="E88" s="132">
        <v>42944</v>
      </c>
      <c r="F88" s="128">
        <v>42925</v>
      </c>
      <c r="G88" s="128">
        <v>42931</v>
      </c>
      <c r="H88" s="126">
        <v>5</v>
      </c>
    </row>
    <row r="89" spans="1:8">
      <c r="A89" s="130" t="s">
        <v>1052</v>
      </c>
      <c r="B89" s="129" t="s">
        <v>990</v>
      </c>
      <c r="C89" s="128" t="s">
        <v>975</v>
      </c>
      <c r="D89" s="128">
        <v>42926</v>
      </c>
      <c r="E89" s="132">
        <v>42944</v>
      </c>
      <c r="F89" s="128">
        <v>42932</v>
      </c>
      <c r="G89" s="128">
        <v>42938</v>
      </c>
      <c r="H89" s="126">
        <v>5</v>
      </c>
    </row>
    <row r="90" spans="1:8">
      <c r="A90" s="130" t="s">
        <v>1052</v>
      </c>
      <c r="B90" s="129" t="s">
        <v>990</v>
      </c>
      <c r="C90" s="128" t="s">
        <v>975</v>
      </c>
      <c r="D90" s="128">
        <v>42926</v>
      </c>
      <c r="E90" s="132">
        <v>42944</v>
      </c>
      <c r="F90" s="128">
        <v>42939</v>
      </c>
      <c r="G90" s="128">
        <v>42945</v>
      </c>
      <c r="H90" s="126">
        <v>5</v>
      </c>
    </row>
    <row r="91" spans="1:8">
      <c r="A91" s="130" t="s">
        <v>1053</v>
      </c>
      <c r="B91" s="129" t="s">
        <v>991</v>
      </c>
      <c r="C91" s="128" t="s">
        <v>975</v>
      </c>
      <c r="D91" s="128">
        <v>42947</v>
      </c>
      <c r="E91" s="132">
        <v>42951</v>
      </c>
      <c r="F91" s="128">
        <v>42946</v>
      </c>
      <c r="G91" s="128">
        <v>42952</v>
      </c>
      <c r="H91" s="126">
        <v>5</v>
      </c>
    </row>
    <row r="92" spans="1:8">
      <c r="A92" s="130" t="s">
        <v>1054</v>
      </c>
      <c r="B92" s="129" t="s">
        <v>994</v>
      </c>
      <c r="C92" s="128" t="s">
        <v>975</v>
      </c>
      <c r="D92" s="128">
        <v>42947</v>
      </c>
      <c r="E92" s="132">
        <v>42949</v>
      </c>
      <c r="F92" s="128">
        <v>42946</v>
      </c>
      <c r="G92" s="128">
        <v>42952</v>
      </c>
      <c r="H92" s="126">
        <v>3</v>
      </c>
    </row>
    <row r="93" spans="1:8">
      <c r="A93" s="130" t="s">
        <v>1055</v>
      </c>
      <c r="B93" s="129" t="s">
        <v>996</v>
      </c>
      <c r="C93" s="128" t="s">
        <v>975</v>
      </c>
      <c r="D93" s="128">
        <v>42951</v>
      </c>
      <c r="E93" s="132">
        <v>42953</v>
      </c>
      <c r="F93" s="128">
        <v>42946</v>
      </c>
      <c r="G93" s="128">
        <v>42952</v>
      </c>
      <c r="H93" s="126">
        <v>0.5</v>
      </c>
    </row>
    <row r="94" spans="1:8">
      <c r="A94" s="130" t="s">
        <v>1055</v>
      </c>
      <c r="B94" s="129" t="s">
        <v>996</v>
      </c>
      <c r="C94" s="128" t="s">
        <v>973</v>
      </c>
      <c r="D94" s="128">
        <v>42951</v>
      </c>
      <c r="E94" s="132">
        <v>42953</v>
      </c>
      <c r="F94" s="128">
        <v>42946</v>
      </c>
      <c r="G94" s="128">
        <v>42952</v>
      </c>
      <c r="H94" s="126">
        <v>0.5</v>
      </c>
    </row>
    <row r="95" spans="1:8">
      <c r="A95" s="130" t="s">
        <v>1055</v>
      </c>
      <c r="B95" s="129" t="s">
        <v>996</v>
      </c>
      <c r="C95" s="128" t="s">
        <v>975</v>
      </c>
      <c r="D95" s="128">
        <v>42951</v>
      </c>
      <c r="E95" s="132">
        <v>42953</v>
      </c>
      <c r="F95" s="128">
        <v>42953</v>
      </c>
      <c r="G95" s="128">
        <v>42959</v>
      </c>
      <c r="H95" s="126">
        <v>0</v>
      </c>
    </row>
    <row r="96" spans="1:8">
      <c r="A96" s="130" t="s">
        <v>1055</v>
      </c>
      <c r="B96" s="129" t="s">
        <v>996</v>
      </c>
      <c r="C96" s="128" t="s">
        <v>973</v>
      </c>
      <c r="D96" s="128">
        <v>42951</v>
      </c>
      <c r="E96" s="132">
        <v>42953</v>
      </c>
      <c r="F96" s="128">
        <v>42953</v>
      </c>
      <c r="G96" s="128">
        <v>42959</v>
      </c>
      <c r="H96" s="126">
        <v>0</v>
      </c>
    </row>
    <row r="97" spans="1:8">
      <c r="A97" s="130" t="s">
        <v>1056</v>
      </c>
      <c r="B97" s="129" t="s">
        <v>997</v>
      </c>
      <c r="C97" s="128" t="s">
        <v>975</v>
      </c>
      <c r="D97" s="128">
        <v>42951</v>
      </c>
      <c r="E97" s="132">
        <v>42953</v>
      </c>
      <c r="F97" s="128">
        <v>42946</v>
      </c>
      <c r="G97" s="128">
        <v>42952</v>
      </c>
      <c r="H97" s="126">
        <v>0.5</v>
      </c>
    </row>
    <row r="98" spans="1:8">
      <c r="A98" s="130" t="s">
        <v>1056</v>
      </c>
      <c r="B98" s="129" t="s">
        <v>997</v>
      </c>
      <c r="C98" s="128" t="s">
        <v>982</v>
      </c>
      <c r="D98" s="128">
        <v>42951</v>
      </c>
      <c r="E98" s="132">
        <v>42953</v>
      </c>
      <c r="F98" s="128">
        <v>42946</v>
      </c>
      <c r="G98" s="128">
        <v>42952</v>
      </c>
      <c r="H98" s="126">
        <v>0.5</v>
      </c>
    </row>
    <row r="99" spans="1:8">
      <c r="A99" s="130" t="s">
        <v>1056</v>
      </c>
      <c r="B99" s="129" t="s">
        <v>997</v>
      </c>
      <c r="C99" s="128" t="s">
        <v>975</v>
      </c>
      <c r="D99" s="128">
        <v>42951</v>
      </c>
      <c r="E99" s="132">
        <v>42953</v>
      </c>
      <c r="F99" s="128">
        <v>42953</v>
      </c>
      <c r="G99" s="128">
        <v>42959</v>
      </c>
      <c r="H99" s="126">
        <v>0</v>
      </c>
    </row>
    <row r="100" spans="1:8">
      <c r="A100" s="130" t="s">
        <v>1056</v>
      </c>
      <c r="B100" s="129" t="s">
        <v>997</v>
      </c>
      <c r="C100" s="128" t="s">
        <v>982</v>
      </c>
      <c r="D100" s="128">
        <v>42951</v>
      </c>
      <c r="E100" s="132">
        <v>42953</v>
      </c>
      <c r="F100" s="128">
        <v>42953</v>
      </c>
      <c r="G100" s="128">
        <v>42959</v>
      </c>
      <c r="H100" s="126">
        <v>0</v>
      </c>
    </row>
    <row r="101" spans="1:8">
      <c r="A101" s="130" t="s">
        <v>1057</v>
      </c>
      <c r="B101" s="129" t="s">
        <v>998</v>
      </c>
      <c r="C101" s="128" t="s">
        <v>975</v>
      </c>
      <c r="D101" s="128">
        <v>42951</v>
      </c>
      <c r="E101" s="132">
        <v>42953</v>
      </c>
      <c r="F101" s="128">
        <v>42946</v>
      </c>
      <c r="G101" s="128">
        <v>42952</v>
      </c>
      <c r="H101" s="126">
        <v>0.5</v>
      </c>
    </row>
    <row r="102" spans="1:8">
      <c r="A102" s="130" t="s">
        <v>1057</v>
      </c>
      <c r="B102" s="129" t="s">
        <v>998</v>
      </c>
      <c r="C102" s="128" t="s">
        <v>982</v>
      </c>
      <c r="D102" s="128">
        <v>42951</v>
      </c>
      <c r="E102" s="132">
        <v>42953</v>
      </c>
      <c r="F102" s="128">
        <v>42946</v>
      </c>
      <c r="G102" s="128">
        <v>42952</v>
      </c>
      <c r="H102" s="126">
        <v>0.5</v>
      </c>
    </row>
    <row r="103" spans="1:8">
      <c r="A103" s="130" t="s">
        <v>1057</v>
      </c>
      <c r="B103" s="129" t="s">
        <v>998</v>
      </c>
      <c r="C103" s="128" t="s">
        <v>975</v>
      </c>
      <c r="D103" s="128">
        <v>42951</v>
      </c>
      <c r="E103" s="132">
        <v>42953</v>
      </c>
      <c r="F103" s="128">
        <v>42953</v>
      </c>
      <c r="G103" s="128">
        <v>42959</v>
      </c>
      <c r="H103" s="126">
        <v>0</v>
      </c>
    </row>
    <row r="104" spans="1:8">
      <c r="A104" s="130" t="s">
        <v>1057</v>
      </c>
      <c r="B104" s="129" t="s">
        <v>998</v>
      </c>
      <c r="C104" s="128" t="s">
        <v>982</v>
      </c>
      <c r="D104" s="128">
        <v>42951</v>
      </c>
      <c r="E104" s="132">
        <v>42953</v>
      </c>
      <c r="F104" s="128">
        <v>42953</v>
      </c>
      <c r="G104" s="128">
        <v>42959</v>
      </c>
      <c r="H104" s="126">
        <v>0</v>
      </c>
    </row>
    <row r="105" spans="1:8">
      <c r="A105" s="130" t="s">
        <v>1058</v>
      </c>
      <c r="B105" s="129" t="s">
        <v>999</v>
      </c>
      <c r="C105" s="128" t="s">
        <v>975</v>
      </c>
      <c r="D105" s="128">
        <v>42954</v>
      </c>
      <c r="E105" s="132">
        <v>42954</v>
      </c>
      <c r="F105" s="128">
        <v>42953</v>
      </c>
      <c r="G105" s="128">
        <v>42959</v>
      </c>
      <c r="H105" s="126">
        <v>1</v>
      </c>
    </row>
    <row r="106" spans="1:8">
      <c r="G106" s="126" t="s">
        <v>0</v>
      </c>
      <c r="H106" s="126">
        <f>SUM(H2:H105)</f>
        <v>297</v>
      </c>
    </row>
  </sheetData>
  <sortState xmlns:xlrd2="http://schemas.microsoft.com/office/spreadsheetml/2017/richdata2"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53" t="s">
        <v>820</v>
      </c>
      <c r="C8" s="4" t="s">
        <v>1119</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1132</v>
      </c>
      <c r="D11" s="2" t="s">
        <v>80</v>
      </c>
      <c r="E11" s="28">
        <v>1</v>
      </c>
      <c r="F11" s="10" t="s">
        <v>81</v>
      </c>
      <c r="G11" s="29">
        <v>42825</v>
      </c>
      <c r="H11" s="10" t="s">
        <v>82</v>
      </c>
      <c r="I11" s="29">
        <v>42976</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1066</v>
      </c>
      <c r="AC11" s="5" t="s">
        <v>1144</v>
      </c>
      <c r="AD11" s="5" t="s">
        <v>186</v>
      </c>
      <c r="AE11" s="5">
        <v>82</v>
      </c>
      <c r="AF11" s="5" t="s">
        <v>322</v>
      </c>
      <c r="AG11" s="5" t="s">
        <v>1155</v>
      </c>
      <c r="AH11" s="5" t="s">
        <v>334</v>
      </c>
      <c r="AI11" s="5">
        <v>1</v>
      </c>
      <c r="AJ11" s="5" t="s">
        <v>855</v>
      </c>
      <c r="AK11" s="5">
        <v>1</v>
      </c>
    </row>
    <row r="12" spans="1:64">
      <c r="A12" s="2" t="s">
        <v>89</v>
      </c>
      <c r="B12" s="9" t="s">
        <v>105</v>
      </c>
      <c r="C12" s="2">
        <v>0</v>
      </c>
      <c r="D12" s="2" t="s">
        <v>106</v>
      </c>
      <c r="E12" s="9" t="s">
        <v>1133</v>
      </c>
      <c r="F12" s="10"/>
    </row>
    <row r="13" spans="1:64">
      <c r="A13" s="2" t="s">
        <v>90</v>
      </c>
      <c r="B13" s="9" t="s">
        <v>57</v>
      </c>
      <c r="C13" s="2">
        <v>1</v>
      </c>
      <c r="D13" s="9" t="s">
        <v>58</v>
      </c>
      <c r="E13" s="2" t="s">
        <v>1127</v>
      </c>
      <c r="F13" s="2" t="s">
        <v>59</v>
      </c>
      <c r="G13" s="10" t="s">
        <v>1134</v>
      </c>
      <c r="H13" s="10" t="s">
        <v>56</v>
      </c>
      <c r="I13" s="5" t="s">
        <v>822</v>
      </c>
    </row>
    <row r="14" spans="1:64">
      <c r="A14" s="2" t="s">
        <v>91</v>
      </c>
      <c r="B14" s="28" t="s">
        <v>60</v>
      </c>
      <c r="C14" s="28" t="s">
        <v>1135</v>
      </c>
      <c r="D14" s="28" t="s">
        <v>104</v>
      </c>
      <c r="E14" s="28" t="s">
        <v>1136</v>
      </c>
      <c r="F14" s="28" t="s">
        <v>61</v>
      </c>
      <c r="G14" s="28" t="s">
        <v>1137</v>
      </c>
      <c r="H14" s="28" t="s">
        <v>62</v>
      </c>
      <c r="I14" s="28" t="b">
        <v>0</v>
      </c>
      <c r="J14" s="28" t="s">
        <v>67</v>
      </c>
      <c r="K14" s="28" t="s">
        <v>1138</v>
      </c>
      <c r="L14" s="28" t="s">
        <v>68</v>
      </c>
      <c r="M14" s="28" t="s">
        <v>1139</v>
      </c>
      <c r="N14" s="28" t="s">
        <v>69</v>
      </c>
      <c r="O14" s="28" t="s">
        <v>1137</v>
      </c>
      <c r="P14" s="28" t="s">
        <v>70</v>
      </c>
      <c r="Q14" s="28" t="b">
        <v>0</v>
      </c>
      <c r="R14" s="28" t="s">
        <v>71</v>
      </c>
      <c r="S14" s="28" t="s">
        <v>1124</v>
      </c>
      <c r="T14" s="28" t="s">
        <v>72</v>
      </c>
      <c r="U14" s="28" t="s">
        <v>1088</v>
      </c>
      <c r="V14" s="28" t="s">
        <v>73</v>
      </c>
      <c r="W14" s="28" t="s">
        <v>1137</v>
      </c>
      <c r="X14" s="28" t="s">
        <v>74</v>
      </c>
      <c r="Y14" s="28" t="b">
        <v>1</v>
      </c>
      <c r="Z14" s="28" t="s">
        <v>63</v>
      </c>
      <c r="AA14" s="28" t="s">
        <v>1067</v>
      </c>
      <c r="AB14" s="28" t="s">
        <v>66</v>
      </c>
      <c r="AC14" s="28" t="s">
        <v>1065</v>
      </c>
      <c r="AD14" s="28" t="s">
        <v>64</v>
      </c>
      <c r="AE14" s="28" t="s">
        <v>1089</v>
      </c>
      <c r="AF14" s="28" t="s">
        <v>65</v>
      </c>
      <c r="AG14" s="28" t="b">
        <v>1</v>
      </c>
      <c r="AH14" s="28" t="s">
        <v>75</v>
      </c>
      <c r="AI14" s="28" t="s">
        <v>1125</v>
      </c>
      <c r="AJ14" s="28" t="s">
        <v>76</v>
      </c>
      <c r="AK14" s="28" t="s">
        <v>1140</v>
      </c>
      <c r="AL14" s="28" t="s">
        <v>77</v>
      </c>
      <c r="AM14" s="28" t="s">
        <v>1141</v>
      </c>
      <c r="AN14" s="28" t="s">
        <v>78</v>
      </c>
      <c r="AO14" s="28" t="b">
        <v>0</v>
      </c>
      <c r="AP14" s="28" t="s">
        <v>92</v>
      </c>
      <c r="AQ14" s="28" t="s">
        <v>1142</v>
      </c>
      <c r="AR14" s="28" t="s">
        <v>93</v>
      </c>
      <c r="AS14" s="28" t="s">
        <v>1116</v>
      </c>
      <c r="AT14" s="28" t="s">
        <v>94</v>
      </c>
      <c r="AU14" s="28" t="s">
        <v>1117</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08" bestFit="1" customWidth="1"/>
    <col min="2" max="2" width="12.59765625" style="108" bestFit="1" customWidth="1"/>
    <col min="3" max="3" width="13.59765625" style="108" bestFit="1" customWidth="1"/>
    <col min="4" max="4" width="52.59765625" style="108" customWidth="1"/>
    <col min="5" max="5" width="45.8984375" style="108" customWidth="1"/>
    <col min="6" max="7" width="32.8984375" style="108" customWidth="1"/>
    <col min="8" max="16384" width="29" style="108"/>
  </cols>
  <sheetData>
    <row r="1" spans="1:6" s="150" customFormat="1" ht="24.75" customHeight="1">
      <c r="A1" s="150" t="s">
        <v>858</v>
      </c>
      <c r="B1" s="150" t="s">
        <v>859</v>
      </c>
      <c r="C1" s="150" t="s">
        <v>860</v>
      </c>
      <c r="D1" s="150" t="s">
        <v>185</v>
      </c>
      <c r="E1" s="150" t="s">
        <v>184</v>
      </c>
    </row>
    <row r="2" spans="1:6" ht="96.6">
      <c r="A2" s="108" t="s">
        <v>1143</v>
      </c>
      <c r="B2" s="108">
        <v>1</v>
      </c>
      <c r="D2" s="108" t="s">
        <v>861</v>
      </c>
      <c r="E2" s="108" t="s">
        <v>546</v>
      </c>
      <c r="F2" s="122"/>
    </row>
    <row r="3" spans="1:6" ht="86.4">
      <c r="A3" s="108">
        <v>450</v>
      </c>
      <c r="B3" s="108">
        <v>2</v>
      </c>
      <c r="D3" s="108" t="s">
        <v>862</v>
      </c>
      <c r="E3" s="108" t="s">
        <v>863</v>
      </c>
      <c r="F3" s="122"/>
    </row>
    <row r="4" spans="1:6" ht="86.4">
      <c r="B4" s="108">
        <v>3</v>
      </c>
      <c r="D4" s="108" t="s">
        <v>817</v>
      </c>
      <c r="E4" s="151" t="s">
        <v>547</v>
      </c>
      <c r="F4" s="121"/>
    </row>
    <row r="5" spans="1:6" ht="86.4">
      <c r="B5" s="108">
        <v>4</v>
      </c>
      <c r="D5" s="108" t="s">
        <v>864</v>
      </c>
      <c r="E5" s="151" t="s">
        <v>548</v>
      </c>
      <c r="F5" s="121"/>
    </row>
    <row r="6" spans="1:6" ht="72">
      <c r="B6" s="108">
        <v>5</v>
      </c>
      <c r="D6" s="108" t="s">
        <v>865</v>
      </c>
      <c r="E6" s="108" t="s">
        <v>549</v>
      </c>
      <c r="F6" s="121"/>
    </row>
    <row r="7" spans="1:6" ht="58.5" customHeight="1">
      <c r="B7" s="108">
        <v>6</v>
      </c>
      <c r="D7" s="108" t="s">
        <v>1128</v>
      </c>
      <c r="E7" s="151" t="s">
        <v>1062</v>
      </c>
    </row>
    <row r="8" spans="1:6" ht="14.4">
      <c r="B8" s="108">
        <v>101</v>
      </c>
      <c r="D8" s="108" t="s">
        <v>321</v>
      </c>
      <c r="E8" s="108" t="s">
        <v>516</v>
      </c>
      <c r="F8" s="122"/>
    </row>
    <row r="9" spans="1:6" ht="14.4">
      <c r="B9" s="108">
        <v>102</v>
      </c>
      <c r="D9" s="108" t="s">
        <v>189</v>
      </c>
      <c r="E9" s="108" t="s">
        <v>517</v>
      </c>
      <c r="F9" s="122"/>
    </row>
    <row r="10" spans="1:6" ht="14.4">
      <c r="B10" s="108">
        <v>103</v>
      </c>
      <c r="D10" s="108" t="s">
        <v>190</v>
      </c>
      <c r="E10" s="108" t="s">
        <v>518</v>
      </c>
      <c r="F10" s="122"/>
    </row>
    <row r="11" spans="1:6" ht="14.4">
      <c r="B11" s="108">
        <v>104</v>
      </c>
      <c r="D11" s="108" t="s">
        <v>191</v>
      </c>
      <c r="E11" s="108" t="s">
        <v>519</v>
      </c>
      <c r="F11" s="122"/>
    </row>
    <row r="12" spans="1:6" ht="14.4">
      <c r="B12" s="108">
        <v>105</v>
      </c>
      <c r="D12" s="108" t="s">
        <v>192</v>
      </c>
      <c r="E12" s="108" t="s">
        <v>520</v>
      </c>
      <c r="F12" s="123"/>
    </row>
    <row r="13" spans="1:6" ht="14.4">
      <c r="B13" s="108">
        <v>106</v>
      </c>
      <c r="D13" s="108" t="s">
        <v>525</v>
      </c>
      <c r="E13" s="151" t="s">
        <v>338</v>
      </c>
      <c r="F13" s="122"/>
    </row>
    <row r="14" spans="1:6" ht="14.4">
      <c r="B14" s="108">
        <v>107</v>
      </c>
      <c r="D14" s="108" t="s">
        <v>521</v>
      </c>
      <c r="E14" s="151" t="s">
        <v>522</v>
      </c>
      <c r="F14" s="122"/>
    </row>
    <row r="15" spans="1:6" ht="14.4">
      <c r="B15" s="108">
        <v>108</v>
      </c>
      <c r="D15" s="108" t="s">
        <v>193</v>
      </c>
      <c r="E15" s="151" t="s">
        <v>526</v>
      </c>
      <c r="F15" s="123"/>
    </row>
    <row r="16" spans="1:6" ht="14.4">
      <c r="B16" s="108">
        <v>109</v>
      </c>
      <c r="D16" s="108" t="s">
        <v>194</v>
      </c>
      <c r="E16" s="151" t="s">
        <v>527</v>
      </c>
      <c r="F16" s="122"/>
    </row>
    <row r="17" spans="1:9" ht="14.4">
      <c r="B17" s="108">
        <v>110</v>
      </c>
      <c r="D17" s="108" t="s">
        <v>137</v>
      </c>
      <c r="E17" s="151" t="s">
        <v>339</v>
      </c>
      <c r="F17" s="122"/>
    </row>
    <row r="18" spans="1:9" ht="27.6">
      <c r="B18" s="108">
        <v>11001</v>
      </c>
      <c r="C18" s="108" t="s">
        <v>866</v>
      </c>
      <c r="D18" s="108" t="s">
        <v>867</v>
      </c>
      <c r="E18" s="151" t="s">
        <v>339</v>
      </c>
      <c r="F18" s="122"/>
    </row>
    <row r="19" spans="1:9" ht="28.8">
      <c r="B19" s="108">
        <v>111</v>
      </c>
      <c r="D19" s="108" t="s">
        <v>528</v>
      </c>
      <c r="E19" s="108" t="s">
        <v>529</v>
      </c>
      <c r="F19" s="122"/>
    </row>
    <row r="20" spans="1:9" ht="14.4">
      <c r="B20" s="108">
        <v>112</v>
      </c>
      <c r="D20" s="108" t="s">
        <v>195</v>
      </c>
      <c r="E20" s="108" t="s">
        <v>530</v>
      </c>
      <c r="F20" s="122"/>
    </row>
    <row r="21" spans="1:9" ht="42">
      <c r="B21" s="108">
        <v>113</v>
      </c>
      <c r="D21" s="108" t="s">
        <v>868</v>
      </c>
      <c r="E21" s="108" t="s">
        <v>869</v>
      </c>
      <c r="F21" s="122"/>
    </row>
    <row r="22" spans="1:9" ht="14.4">
      <c r="B22" s="108">
        <v>114</v>
      </c>
      <c r="D22" s="108" t="s">
        <v>870</v>
      </c>
      <c r="E22" s="108" t="s">
        <v>531</v>
      </c>
      <c r="F22" s="122"/>
    </row>
    <row r="23" spans="1:9" ht="28.8">
      <c r="B23" s="108">
        <v>115</v>
      </c>
      <c r="D23" s="108" t="s">
        <v>532</v>
      </c>
      <c r="E23" s="108" t="s">
        <v>533</v>
      </c>
      <c r="F23" s="122"/>
    </row>
    <row r="24" spans="1:9" ht="14.4">
      <c r="B24" s="108">
        <v>116</v>
      </c>
      <c r="D24" s="108" t="s">
        <v>534</v>
      </c>
      <c r="E24" s="108" t="s">
        <v>535</v>
      </c>
      <c r="F24" s="122"/>
    </row>
    <row r="25" spans="1:9" ht="14.4">
      <c r="B25" s="108">
        <v>117</v>
      </c>
      <c r="D25" s="108" t="s">
        <v>871</v>
      </c>
      <c r="E25" s="108" t="s">
        <v>536</v>
      </c>
      <c r="F25" s="122"/>
    </row>
    <row r="26" spans="1:9" ht="14.4">
      <c r="B26" s="108">
        <v>118</v>
      </c>
      <c r="D26" s="108" t="s">
        <v>537</v>
      </c>
      <c r="E26" s="151" t="s">
        <v>538</v>
      </c>
      <c r="F26" s="122"/>
    </row>
    <row r="27" spans="1:9" ht="14.4">
      <c r="B27" s="108">
        <v>119</v>
      </c>
      <c r="D27" s="108" t="s">
        <v>539</v>
      </c>
      <c r="E27" s="108" t="s">
        <v>540</v>
      </c>
      <c r="F27" s="122"/>
    </row>
    <row r="28" spans="1:9" ht="27.6">
      <c r="B28" s="108">
        <v>120</v>
      </c>
      <c r="D28" s="108" t="s">
        <v>541</v>
      </c>
      <c r="E28" s="108" t="s">
        <v>542</v>
      </c>
      <c r="F28" s="122"/>
    </row>
    <row r="29" spans="1:9" s="110" customFormat="1" ht="27.6">
      <c r="A29" s="108"/>
      <c r="B29" s="108">
        <v>121</v>
      </c>
      <c r="C29" s="108"/>
      <c r="D29" s="108" t="s">
        <v>543</v>
      </c>
      <c r="E29" s="108" t="s">
        <v>544</v>
      </c>
      <c r="F29" s="122"/>
      <c r="G29" s="108"/>
      <c r="H29" s="108"/>
      <c r="I29" s="108"/>
    </row>
    <row r="30" spans="1:9" ht="28.8">
      <c r="B30" s="108">
        <v>122</v>
      </c>
      <c r="D30" s="108" t="s">
        <v>872</v>
      </c>
      <c r="E30" s="108" t="s">
        <v>545</v>
      </c>
      <c r="F30" s="122"/>
    </row>
    <row r="31" spans="1:9" ht="14.4">
      <c r="B31" s="108">
        <v>123</v>
      </c>
      <c r="D31" s="108" t="s">
        <v>188</v>
      </c>
      <c r="E31" s="108" t="s">
        <v>550</v>
      </c>
      <c r="F31" s="121"/>
    </row>
    <row r="32" spans="1:9" ht="14.4">
      <c r="B32" s="108">
        <v>124</v>
      </c>
      <c r="D32" s="108" t="s">
        <v>340</v>
      </c>
      <c r="E32" s="108" t="s">
        <v>551</v>
      </c>
      <c r="F32" s="122"/>
    </row>
    <row r="33" spans="2:6" ht="14.4">
      <c r="B33" s="108">
        <v>125</v>
      </c>
      <c r="D33" s="108" t="s">
        <v>318</v>
      </c>
      <c r="E33" s="108" t="s">
        <v>552</v>
      </c>
      <c r="F33" s="122"/>
    </row>
    <row r="34" spans="2:6" ht="14.4">
      <c r="B34" s="108">
        <v>126</v>
      </c>
      <c r="D34" s="108" t="s">
        <v>196</v>
      </c>
      <c r="E34" s="108" t="s">
        <v>197</v>
      </c>
      <c r="F34" s="122"/>
    </row>
    <row r="35" spans="2:6" ht="14.4">
      <c r="B35" s="108">
        <v>127</v>
      </c>
      <c r="D35" s="108" t="s">
        <v>198</v>
      </c>
      <c r="E35" s="108" t="s">
        <v>553</v>
      </c>
      <c r="F35" s="122"/>
    </row>
    <row r="36" spans="2:6" ht="14.4">
      <c r="B36" s="108">
        <v>128</v>
      </c>
      <c r="D36" s="108" t="s">
        <v>511</v>
      </c>
      <c r="E36" s="152">
        <v>42705</v>
      </c>
      <c r="F36" s="122"/>
    </row>
    <row r="37" spans="2:6" ht="14.4">
      <c r="B37" s="108">
        <v>129</v>
      </c>
      <c r="D37" s="108" t="s">
        <v>511</v>
      </c>
      <c r="E37" s="152">
        <v>42705</v>
      </c>
      <c r="F37" s="122"/>
    </row>
    <row r="38" spans="2:6" ht="14.4">
      <c r="B38" s="108">
        <v>130</v>
      </c>
      <c r="D38" s="108" t="s">
        <v>512</v>
      </c>
      <c r="E38" s="152">
        <v>42735</v>
      </c>
      <c r="F38" s="122"/>
    </row>
    <row r="39" spans="2:6" ht="14.4">
      <c r="B39" s="108">
        <v>131</v>
      </c>
      <c r="D39" s="108" t="s">
        <v>512</v>
      </c>
      <c r="E39" s="152">
        <v>42735</v>
      </c>
      <c r="F39" s="122"/>
    </row>
    <row r="40" spans="2:6" ht="14.4">
      <c r="B40" s="108">
        <v>132</v>
      </c>
      <c r="D40" s="108" t="s">
        <v>150</v>
      </c>
      <c r="E40" s="108" t="s">
        <v>150</v>
      </c>
      <c r="F40" s="122"/>
    </row>
    <row r="41" spans="2:6" ht="14.4">
      <c r="B41" s="108">
        <v>133</v>
      </c>
      <c r="D41" s="108" t="s">
        <v>341</v>
      </c>
      <c r="E41" s="151" t="s">
        <v>554</v>
      </c>
      <c r="F41" s="122"/>
    </row>
    <row r="42" spans="2:6" ht="14.4">
      <c r="B42" s="108">
        <v>134</v>
      </c>
      <c r="D42" s="108" t="s">
        <v>873</v>
      </c>
      <c r="E42" s="151" t="s">
        <v>874</v>
      </c>
      <c r="F42" s="122"/>
    </row>
    <row r="43" spans="2:6" ht="28.8">
      <c r="B43" s="108">
        <v>135</v>
      </c>
      <c r="D43" s="108" t="s">
        <v>342</v>
      </c>
      <c r="E43" s="151" t="s">
        <v>555</v>
      </c>
      <c r="F43" s="122"/>
    </row>
    <row r="44" spans="2:6" ht="28.8">
      <c r="B44" s="108">
        <v>136</v>
      </c>
      <c r="D44" s="108" t="s">
        <v>199</v>
      </c>
      <c r="E44" s="151" t="s">
        <v>556</v>
      </c>
      <c r="F44" s="123"/>
    </row>
    <row r="45" spans="2:6" ht="14.4">
      <c r="B45" s="108">
        <v>137</v>
      </c>
      <c r="D45" s="108" t="s">
        <v>200</v>
      </c>
      <c r="E45" s="151" t="s">
        <v>343</v>
      </c>
      <c r="F45" s="123"/>
    </row>
    <row r="46" spans="2:6" ht="28.8">
      <c r="B46" s="108">
        <v>138</v>
      </c>
      <c r="D46" s="108" t="s">
        <v>344</v>
      </c>
      <c r="E46" s="151" t="s">
        <v>557</v>
      </c>
      <c r="F46" s="123"/>
    </row>
    <row r="47" spans="2:6" ht="14.4">
      <c r="B47" s="108">
        <v>139</v>
      </c>
      <c r="D47" s="108" t="s">
        <v>201</v>
      </c>
      <c r="E47" s="151" t="s">
        <v>558</v>
      </c>
      <c r="F47" s="122"/>
    </row>
    <row r="48" spans="2:6" ht="28.8">
      <c r="B48" s="108">
        <v>140</v>
      </c>
      <c r="D48" s="108" t="s">
        <v>345</v>
      </c>
      <c r="E48" s="151" t="s">
        <v>559</v>
      </c>
      <c r="F48" s="122"/>
    </row>
    <row r="49" spans="1:6" ht="28.8">
      <c r="B49" s="108">
        <v>141</v>
      </c>
      <c r="D49" s="108" t="s">
        <v>202</v>
      </c>
      <c r="E49" s="151" t="s">
        <v>560</v>
      </c>
      <c r="F49" s="122"/>
    </row>
    <row r="50" spans="1:6" ht="14.4">
      <c r="A50" s="109"/>
      <c r="B50" s="108">
        <v>142</v>
      </c>
      <c r="D50" s="108" t="s">
        <v>203</v>
      </c>
      <c r="E50" s="151" t="s">
        <v>346</v>
      </c>
      <c r="F50" s="122"/>
    </row>
    <row r="51" spans="1:6" ht="28.8">
      <c r="A51" s="109"/>
      <c r="B51" s="108">
        <v>143</v>
      </c>
      <c r="D51" s="108" t="s">
        <v>347</v>
      </c>
      <c r="E51" s="151" t="s">
        <v>561</v>
      </c>
      <c r="F51" s="122"/>
    </row>
    <row r="52" spans="1:6" ht="14.4">
      <c r="A52" s="109"/>
      <c r="B52" s="108">
        <v>144</v>
      </c>
      <c r="D52" s="108" t="s">
        <v>204</v>
      </c>
      <c r="E52" s="151" t="s">
        <v>562</v>
      </c>
      <c r="F52" s="122"/>
    </row>
    <row r="53" spans="1:6" ht="28.8">
      <c r="A53" s="109"/>
      <c r="B53" s="108">
        <v>145</v>
      </c>
      <c r="D53" s="108" t="s">
        <v>348</v>
      </c>
      <c r="E53" s="151" t="s">
        <v>563</v>
      </c>
      <c r="F53" s="122"/>
    </row>
    <row r="54" spans="1:6" ht="14.4">
      <c r="A54" s="109"/>
      <c r="B54" s="108">
        <v>146</v>
      </c>
      <c r="D54" s="108" t="s">
        <v>564</v>
      </c>
      <c r="E54" s="151" t="s">
        <v>875</v>
      </c>
      <c r="F54" s="122"/>
    </row>
    <row r="55" spans="1:6" ht="27.6">
      <c r="A55" s="109"/>
      <c r="B55" s="108">
        <v>14601</v>
      </c>
      <c r="C55" s="108" t="s">
        <v>876</v>
      </c>
      <c r="D55" s="108" t="s">
        <v>877</v>
      </c>
      <c r="E55" s="151" t="s">
        <v>878</v>
      </c>
      <c r="F55" s="122"/>
    </row>
    <row r="56" spans="1:6" ht="14.4">
      <c r="A56" s="109"/>
      <c r="B56" s="108">
        <v>147</v>
      </c>
      <c r="D56" s="108" t="s">
        <v>565</v>
      </c>
      <c r="E56" s="151" t="s">
        <v>818</v>
      </c>
      <c r="F56" s="122"/>
    </row>
    <row r="57" spans="1:6" ht="14.4">
      <c r="A57" s="109"/>
      <c r="B57" s="108">
        <v>148</v>
      </c>
      <c r="D57" s="108" t="s">
        <v>133</v>
      </c>
      <c r="E57" s="151" t="s">
        <v>566</v>
      </c>
      <c r="F57" s="122"/>
    </row>
    <row r="58" spans="1:6" ht="27.6">
      <c r="A58" s="109"/>
      <c r="B58" s="108">
        <v>14801</v>
      </c>
      <c r="C58" s="108" t="s">
        <v>876</v>
      </c>
      <c r="D58" s="108" t="s">
        <v>879</v>
      </c>
      <c r="E58" s="151" t="s">
        <v>880</v>
      </c>
      <c r="F58" s="122"/>
    </row>
    <row r="59" spans="1:6" ht="14.4">
      <c r="A59" s="109"/>
      <c r="B59" s="108">
        <v>149</v>
      </c>
      <c r="D59" s="108" t="s">
        <v>132</v>
      </c>
      <c r="E59" s="151" t="s">
        <v>567</v>
      </c>
      <c r="F59" s="122"/>
    </row>
    <row r="60" spans="1:6" ht="27.6">
      <c r="A60" s="109"/>
      <c r="B60" s="108">
        <v>14901</v>
      </c>
      <c r="C60" s="108" t="s">
        <v>866</v>
      </c>
      <c r="D60" s="108" t="s">
        <v>881</v>
      </c>
      <c r="E60" s="151" t="s">
        <v>882</v>
      </c>
      <c r="F60" s="122"/>
    </row>
    <row r="61" spans="1:6" ht="14.4">
      <c r="A61" s="109"/>
      <c r="B61" s="108">
        <v>150</v>
      </c>
      <c r="D61" s="108" t="s">
        <v>883</v>
      </c>
      <c r="E61" s="151" t="s">
        <v>884</v>
      </c>
      <c r="F61" s="122"/>
    </row>
    <row r="62" spans="1:6" ht="14.4">
      <c r="A62" s="109"/>
      <c r="B62" s="108">
        <v>151</v>
      </c>
      <c r="D62" s="108" t="s">
        <v>135</v>
      </c>
      <c r="E62" s="151" t="s">
        <v>568</v>
      </c>
      <c r="F62" s="122"/>
    </row>
    <row r="63" spans="1:6" ht="27.6">
      <c r="A63" s="109"/>
      <c r="B63" s="108">
        <v>15101</v>
      </c>
      <c r="C63" s="108" t="s">
        <v>866</v>
      </c>
      <c r="D63" s="108" t="s">
        <v>885</v>
      </c>
      <c r="E63" s="151" t="s">
        <v>886</v>
      </c>
      <c r="F63" s="122"/>
    </row>
    <row r="64" spans="1:6" ht="14.4">
      <c r="A64" s="109"/>
      <c r="B64" s="108">
        <v>152</v>
      </c>
      <c r="D64" s="108" t="s">
        <v>134</v>
      </c>
      <c r="E64" s="151" t="s">
        <v>569</v>
      </c>
      <c r="F64" s="122"/>
    </row>
    <row r="65" spans="1:6" ht="27.6">
      <c r="A65" s="109"/>
      <c r="B65" s="108">
        <v>15201</v>
      </c>
      <c r="C65" s="108" t="s">
        <v>876</v>
      </c>
      <c r="D65" s="108" t="s">
        <v>887</v>
      </c>
      <c r="E65" s="151" t="s">
        <v>888</v>
      </c>
      <c r="F65" s="122"/>
    </row>
    <row r="66" spans="1:6" ht="14.4">
      <c r="A66" s="109"/>
      <c r="B66" s="108">
        <v>153</v>
      </c>
      <c r="D66" s="108" t="s">
        <v>205</v>
      </c>
      <c r="E66" s="151" t="s">
        <v>570</v>
      </c>
      <c r="F66" s="122"/>
    </row>
    <row r="67" spans="1:6" ht="27.6">
      <c r="B67" s="108">
        <v>154</v>
      </c>
      <c r="D67" s="108" t="s">
        <v>349</v>
      </c>
      <c r="E67" s="151" t="s">
        <v>571</v>
      </c>
      <c r="F67" s="122"/>
    </row>
    <row r="68" spans="1:6" ht="28.8">
      <c r="B68" s="108">
        <v>155</v>
      </c>
      <c r="D68" s="108" t="s">
        <v>337</v>
      </c>
      <c r="E68" s="151" t="s">
        <v>572</v>
      </c>
      <c r="F68" s="122"/>
    </row>
    <row r="69" spans="1:6" ht="14.4">
      <c r="B69" s="108">
        <v>156</v>
      </c>
      <c r="D69" s="108" t="s">
        <v>206</v>
      </c>
      <c r="E69" s="108" t="s">
        <v>206</v>
      </c>
      <c r="F69" s="122"/>
    </row>
    <row r="70" spans="1:6" ht="14.4">
      <c r="B70" s="108">
        <v>157</v>
      </c>
      <c r="D70" s="108" t="s">
        <v>207</v>
      </c>
      <c r="E70" s="151" t="s">
        <v>573</v>
      </c>
      <c r="F70" s="122"/>
    </row>
    <row r="71" spans="1:6" ht="14.4">
      <c r="B71" s="108">
        <v>158</v>
      </c>
      <c r="D71" s="108" t="s">
        <v>115</v>
      </c>
      <c r="E71" s="108" t="s">
        <v>574</v>
      </c>
      <c r="F71" s="122"/>
    </row>
    <row r="72" spans="1:6" ht="14.4">
      <c r="B72" s="108">
        <v>159</v>
      </c>
      <c r="D72" s="108" t="s">
        <v>122</v>
      </c>
      <c r="E72" s="151" t="s">
        <v>575</v>
      </c>
      <c r="F72" s="122"/>
    </row>
    <row r="73" spans="1:6" ht="14.4">
      <c r="B73" s="108">
        <v>160</v>
      </c>
      <c r="D73" s="108" t="s">
        <v>208</v>
      </c>
      <c r="E73" s="151" t="s">
        <v>576</v>
      </c>
      <c r="F73" s="122"/>
    </row>
    <row r="74" spans="1:6" ht="28.8">
      <c r="B74" s="108">
        <v>161</v>
      </c>
      <c r="D74" s="108" t="s">
        <v>320</v>
      </c>
      <c r="E74" s="151" t="s">
        <v>577</v>
      </c>
      <c r="F74" s="122"/>
    </row>
    <row r="75" spans="1:6" ht="28.8">
      <c r="B75" s="108">
        <v>162</v>
      </c>
      <c r="D75" s="108" t="s">
        <v>350</v>
      </c>
      <c r="E75" s="151" t="s">
        <v>578</v>
      </c>
      <c r="F75" s="122"/>
    </row>
    <row r="76" spans="1:6" ht="28.8">
      <c r="B76" s="108">
        <v>163</v>
      </c>
      <c r="D76" s="108" t="s">
        <v>138</v>
      </c>
      <c r="E76" s="151" t="s">
        <v>579</v>
      </c>
      <c r="F76" s="122"/>
    </row>
    <row r="77" spans="1:6" ht="14.4">
      <c r="B77" s="108">
        <v>164</v>
      </c>
      <c r="D77" s="108" t="s">
        <v>145</v>
      </c>
      <c r="E77" s="151" t="s">
        <v>333</v>
      </c>
      <c r="F77" s="122"/>
    </row>
    <row r="78" spans="1:6" ht="14.4">
      <c r="B78" s="108">
        <v>165</v>
      </c>
      <c r="D78" s="108" t="s">
        <v>209</v>
      </c>
      <c r="E78" s="151" t="s">
        <v>351</v>
      </c>
      <c r="F78" s="122"/>
    </row>
    <row r="79" spans="1:6" ht="14.4">
      <c r="B79" s="108">
        <v>166</v>
      </c>
      <c r="D79" s="108" t="s">
        <v>210</v>
      </c>
      <c r="E79" s="151" t="s">
        <v>580</v>
      </c>
      <c r="F79" s="122"/>
    </row>
    <row r="80" spans="1:6" ht="28.8">
      <c r="B80" s="108">
        <v>167</v>
      </c>
      <c r="D80" s="108" t="s">
        <v>352</v>
      </c>
      <c r="E80" s="151" t="s">
        <v>581</v>
      </c>
      <c r="F80" s="122"/>
    </row>
    <row r="81" spans="2:6" ht="14.4">
      <c r="B81" s="108">
        <v>168</v>
      </c>
      <c r="D81" s="108" t="s">
        <v>889</v>
      </c>
      <c r="E81" s="108" t="s">
        <v>582</v>
      </c>
      <c r="F81" s="122"/>
    </row>
    <row r="82" spans="2:6" ht="14.4">
      <c r="B82" s="108">
        <v>169</v>
      </c>
      <c r="D82" s="108" t="s">
        <v>211</v>
      </c>
      <c r="E82" s="108" t="s">
        <v>583</v>
      </c>
      <c r="F82" s="122"/>
    </row>
    <row r="83" spans="2:6" ht="14.4">
      <c r="B83" s="108">
        <v>170</v>
      </c>
      <c r="D83" s="108" t="s">
        <v>212</v>
      </c>
      <c r="E83" s="151" t="s">
        <v>584</v>
      </c>
      <c r="F83" s="122"/>
    </row>
    <row r="84" spans="2:6" ht="28.8">
      <c r="B84" s="108">
        <v>171</v>
      </c>
      <c r="D84" s="108" t="s">
        <v>213</v>
      </c>
      <c r="E84" s="151" t="s">
        <v>585</v>
      </c>
      <c r="F84" s="122"/>
    </row>
    <row r="85" spans="2:6" ht="28.8">
      <c r="B85" s="108">
        <v>172</v>
      </c>
      <c r="D85" s="108" t="s">
        <v>214</v>
      </c>
      <c r="E85" s="151" t="s">
        <v>586</v>
      </c>
      <c r="F85" s="122"/>
    </row>
    <row r="86" spans="2:6" ht="14.4">
      <c r="B86" s="108">
        <v>173</v>
      </c>
      <c r="D86" s="108" t="s">
        <v>118</v>
      </c>
      <c r="E86" s="108" t="s">
        <v>118</v>
      </c>
      <c r="F86" s="122"/>
    </row>
    <row r="87" spans="2:6" ht="14.4">
      <c r="B87" s="108">
        <v>174</v>
      </c>
      <c r="D87" s="108" t="s">
        <v>158</v>
      </c>
      <c r="E87" s="151" t="s">
        <v>353</v>
      </c>
      <c r="F87" s="122"/>
    </row>
    <row r="88" spans="2:6" ht="14.4">
      <c r="B88" s="108">
        <v>175</v>
      </c>
      <c r="D88" s="108" t="s">
        <v>313</v>
      </c>
      <c r="E88" s="151" t="s">
        <v>354</v>
      </c>
      <c r="F88" s="122"/>
    </row>
    <row r="89" spans="2:6" ht="14.4">
      <c r="B89" s="108">
        <v>176</v>
      </c>
      <c r="D89" s="108" t="s">
        <v>215</v>
      </c>
      <c r="E89" s="151" t="s">
        <v>355</v>
      </c>
      <c r="F89" s="122"/>
    </row>
    <row r="90" spans="2:6" ht="14.4">
      <c r="B90" s="108">
        <v>177</v>
      </c>
      <c r="D90" s="108" t="s">
        <v>216</v>
      </c>
      <c r="E90" s="151" t="s">
        <v>587</v>
      </c>
      <c r="F90" s="122"/>
    </row>
    <row r="91" spans="2:6" ht="14.4">
      <c r="B91" s="108">
        <v>178</v>
      </c>
      <c r="D91" s="108" t="s">
        <v>217</v>
      </c>
      <c r="E91" s="108" t="s">
        <v>588</v>
      </c>
      <c r="F91" s="122"/>
    </row>
    <row r="92" spans="2:6" ht="14.4">
      <c r="B92" s="108">
        <v>179</v>
      </c>
      <c r="D92" s="108" t="s">
        <v>218</v>
      </c>
      <c r="E92" s="108" t="s">
        <v>589</v>
      </c>
      <c r="F92" s="122"/>
    </row>
    <row r="93" spans="2:6" ht="14.4">
      <c r="B93" s="108">
        <v>180</v>
      </c>
      <c r="D93" s="108" t="s">
        <v>219</v>
      </c>
      <c r="E93" s="151" t="s">
        <v>590</v>
      </c>
      <c r="F93" s="122"/>
    </row>
    <row r="94" spans="2:6" ht="14.4">
      <c r="B94" s="108">
        <v>181</v>
      </c>
      <c r="D94" s="108" t="s">
        <v>220</v>
      </c>
      <c r="E94" s="151" t="s">
        <v>591</v>
      </c>
      <c r="F94" s="122"/>
    </row>
    <row r="95" spans="2:6" ht="14.4">
      <c r="B95" s="108">
        <v>182</v>
      </c>
      <c r="D95" s="108" t="s">
        <v>221</v>
      </c>
      <c r="E95" s="151" t="s">
        <v>592</v>
      </c>
      <c r="F95" s="122"/>
    </row>
    <row r="96" spans="2:6" ht="14.4">
      <c r="B96" s="108">
        <v>183</v>
      </c>
      <c r="D96" s="108" t="s">
        <v>112</v>
      </c>
      <c r="E96" s="151" t="s">
        <v>356</v>
      </c>
      <c r="F96" s="122"/>
    </row>
    <row r="97" spans="2:6" ht="14.4">
      <c r="B97" s="108">
        <v>184</v>
      </c>
      <c r="D97" s="108" t="s">
        <v>357</v>
      </c>
      <c r="E97" s="151" t="s">
        <v>593</v>
      </c>
      <c r="F97" s="122"/>
    </row>
    <row r="98" spans="2:6" ht="14.4">
      <c r="B98" s="108">
        <v>185</v>
      </c>
      <c r="D98" s="108" t="s">
        <v>121</v>
      </c>
      <c r="E98" s="151" t="s">
        <v>358</v>
      </c>
      <c r="F98" s="122"/>
    </row>
    <row r="99" spans="2:6" ht="14.4">
      <c r="B99" s="108">
        <v>186</v>
      </c>
      <c r="D99" s="108" t="s">
        <v>222</v>
      </c>
      <c r="E99" s="151" t="s">
        <v>594</v>
      </c>
      <c r="F99" s="122"/>
    </row>
    <row r="100" spans="2:6" ht="14.4">
      <c r="B100" s="108">
        <v>187</v>
      </c>
      <c r="D100" s="108" t="s">
        <v>223</v>
      </c>
      <c r="E100" s="151" t="s">
        <v>595</v>
      </c>
      <c r="F100" s="122"/>
    </row>
    <row r="101" spans="2:6" ht="14.4">
      <c r="B101" s="108">
        <v>188</v>
      </c>
      <c r="D101" s="108" t="s">
        <v>164</v>
      </c>
      <c r="E101" s="151" t="s">
        <v>596</v>
      </c>
      <c r="F101" s="122"/>
    </row>
    <row r="102" spans="2:6" ht="14.4">
      <c r="B102" s="108">
        <v>189</v>
      </c>
      <c r="D102" s="108" t="s">
        <v>162</v>
      </c>
      <c r="E102" s="151" t="s">
        <v>359</v>
      </c>
      <c r="F102" s="122"/>
    </row>
    <row r="103" spans="2:6" ht="14.4">
      <c r="B103" s="108">
        <v>190</v>
      </c>
      <c r="D103" s="108" t="s">
        <v>360</v>
      </c>
      <c r="E103" s="151" t="s">
        <v>597</v>
      </c>
      <c r="F103" s="122"/>
    </row>
    <row r="104" spans="2:6" ht="14.4">
      <c r="B104" s="108">
        <v>191</v>
      </c>
      <c r="D104" s="108" t="s">
        <v>361</v>
      </c>
      <c r="E104" s="151" t="s">
        <v>890</v>
      </c>
      <c r="F104" s="122"/>
    </row>
    <row r="105" spans="2:6" ht="14.4">
      <c r="B105" s="108">
        <v>192</v>
      </c>
      <c r="D105" s="108" t="s">
        <v>224</v>
      </c>
      <c r="E105" s="151" t="s">
        <v>598</v>
      </c>
      <c r="F105" s="122"/>
    </row>
    <row r="106" spans="2:6" ht="14.4">
      <c r="B106" s="108">
        <v>193</v>
      </c>
      <c r="D106" s="108" t="s">
        <v>161</v>
      </c>
      <c r="E106" s="151" t="s">
        <v>599</v>
      </c>
      <c r="F106" s="122"/>
    </row>
    <row r="107" spans="2:6" ht="14.4">
      <c r="B107" s="108">
        <v>194</v>
      </c>
      <c r="D107" s="108" t="s">
        <v>225</v>
      </c>
      <c r="E107" s="151" t="s">
        <v>600</v>
      </c>
      <c r="F107" s="122"/>
    </row>
    <row r="108" spans="2:6" ht="28.8">
      <c r="B108" s="108">
        <v>195</v>
      </c>
      <c r="D108" s="108" t="s">
        <v>362</v>
      </c>
      <c r="E108" s="151" t="s">
        <v>601</v>
      </c>
      <c r="F108" s="122"/>
    </row>
    <row r="109" spans="2:6" ht="14.4">
      <c r="B109" s="108">
        <v>196</v>
      </c>
      <c r="D109" s="108" t="s">
        <v>513</v>
      </c>
      <c r="E109" s="108" t="s">
        <v>602</v>
      </c>
      <c r="F109" s="122"/>
    </row>
    <row r="110" spans="2:6" ht="14.4">
      <c r="B110" s="108">
        <v>197</v>
      </c>
      <c r="D110" s="108" t="s">
        <v>169</v>
      </c>
      <c r="E110" s="151" t="s">
        <v>603</v>
      </c>
      <c r="F110" s="122"/>
    </row>
    <row r="111" spans="2:6" ht="14.4">
      <c r="B111" s="108">
        <v>198</v>
      </c>
      <c r="D111" s="108" t="s">
        <v>363</v>
      </c>
      <c r="E111" s="151" t="s">
        <v>604</v>
      </c>
      <c r="F111" s="122"/>
    </row>
    <row r="112" spans="2:6" ht="14.4">
      <c r="B112" s="108">
        <v>199</v>
      </c>
      <c r="D112" s="108" t="s">
        <v>226</v>
      </c>
      <c r="E112" s="151" t="s">
        <v>605</v>
      </c>
      <c r="F112" s="122"/>
    </row>
    <row r="113" spans="2:6" ht="28.8">
      <c r="B113" s="108">
        <v>200</v>
      </c>
      <c r="D113" s="108" t="s">
        <v>364</v>
      </c>
      <c r="E113" s="151" t="s">
        <v>606</v>
      </c>
      <c r="F113" s="122"/>
    </row>
    <row r="114" spans="2:6" ht="57.6">
      <c r="B114" s="108">
        <v>201</v>
      </c>
      <c r="D114" s="108" t="s">
        <v>607</v>
      </c>
      <c r="E114" s="151" t="s">
        <v>608</v>
      </c>
      <c r="F114" s="122"/>
    </row>
    <row r="115" spans="2:6" ht="14.4">
      <c r="B115" s="108">
        <v>202</v>
      </c>
      <c r="D115" s="108" t="s">
        <v>227</v>
      </c>
      <c r="E115" s="151" t="s">
        <v>609</v>
      </c>
      <c r="F115" s="122"/>
    </row>
    <row r="116" spans="2:6" ht="14.4">
      <c r="B116" s="108">
        <v>203</v>
      </c>
      <c r="D116" s="108" t="s">
        <v>148</v>
      </c>
      <c r="E116" s="151" t="s">
        <v>365</v>
      </c>
      <c r="F116" s="122"/>
    </row>
    <row r="117" spans="2:6" ht="14.4">
      <c r="B117" s="108">
        <v>204</v>
      </c>
      <c r="D117" s="108" t="s">
        <v>228</v>
      </c>
      <c r="E117" s="151" t="s">
        <v>366</v>
      </c>
      <c r="F117" s="122"/>
    </row>
    <row r="118" spans="2:6" ht="14.4">
      <c r="B118" s="108">
        <v>205</v>
      </c>
      <c r="D118" s="108" t="s">
        <v>229</v>
      </c>
      <c r="E118" s="151" t="s">
        <v>610</v>
      </c>
      <c r="F118" s="122"/>
    </row>
    <row r="119" spans="2:6" ht="14.4">
      <c r="B119" s="108">
        <v>206</v>
      </c>
      <c r="D119" s="108" t="s">
        <v>230</v>
      </c>
      <c r="E119" s="151" t="s">
        <v>367</v>
      </c>
      <c r="F119" s="122"/>
    </row>
    <row r="120" spans="2:6" ht="14.4">
      <c r="B120" s="108">
        <v>207</v>
      </c>
      <c r="D120" s="108" t="s">
        <v>231</v>
      </c>
      <c r="E120" s="151" t="s">
        <v>611</v>
      </c>
      <c r="F120" s="122"/>
    </row>
    <row r="121" spans="2:6" ht="14.4">
      <c r="B121" s="108">
        <v>208</v>
      </c>
      <c r="D121" s="108" t="s">
        <v>144</v>
      </c>
      <c r="E121" s="151" t="s">
        <v>368</v>
      </c>
      <c r="F121" s="122"/>
    </row>
    <row r="122" spans="2:6" ht="14.4">
      <c r="B122" s="108">
        <v>209</v>
      </c>
      <c r="D122" s="108" t="s">
        <v>127</v>
      </c>
      <c r="E122" s="151" t="s">
        <v>369</v>
      </c>
      <c r="F122" s="122"/>
    </row>
    <row r="123" spans="2:6" ht="14.4">
      <c r="B123" s="108">
        <v>210</v>
      </c>
      <c r="D123" s="108" t="s">
        <v>157</v>
      </c>
      <c r="E123" s="151" t="s">
        <v>370</v>
      </c>
      <c r="F123" s="122"/>
    </row>
    <row r="124" spans="2:6" ht="28.8">
      <c r="B124" s="108">
        <v>211</v>
      </c>
      <c r="D124" s="108" t="s">
        <v>371</v>
      </c>
      <c r="E124" s="151" t="s">
        <v>612</v>
      </c>
      <c r="F124" s="122"/>
    </row>
    <row r="125" spans="2:6" ht="14.4">
      <c r="B125" s="108">
        <v>212</v>
      </c>
      <c r="D125" s="108" t="s">
        <v>232</v>
      </c>
      <c r="E125" s="151" t="s">
        <v>613</v>
      </c>
      <c r="F125" s="122"/>
    </row>
    <row r="126" spans="2:6" ht="28.8">
      <c r="B126" s="108">
        <v>213</v>
      </c>
      <c r="D126" s="108" t="s">
        <v>372</v>
      </c>
      <c r="E126" s="151" t="s">
        <v>614</v>
      </c>
      <c r="F126" s="122"/>
    </row>
    <row r="127" spans="2:6" ht="14.4">
      <c r="B127" s="108">
        <v>214</v>
      </c>
      <c r="D127" s="108" t="s">
        <v>233</v>
      </c>
      <c r="E127" s="151" t="s">
        <v>615</v>
      </c>
      <c r="F127" s="122"/>
    </row>
    <row r="128" spans="2:6" ht="14.4">
      <c r="B128" s="108">
        <v>215</v>
      </c>
      <c r="D128" s="108" t="s">
        <v>180</v>
      </c>
      <c r="E128" s="151" t="s">
        <v>373</v>
      </c>
      <c r="F128" s="122"/>
    </row>
    <row r="129" spans="2:6" ht="14.4">
      <c r="B129" s="108">
        <v>216</v>
      </c>
      <c r="D129" s="108" t="s">
        <v>234</v>
      </c>
      <c r="E129" s="108" t="s">
        <v>616</v>
      </c>
      <c r="F129" s="124"/>
    </row>
    <row r="130" spans="2:6" ht="14.4">
      <c r="B130" s="108">
        <v>217</v>
      </c>
      <c r="D130" s="108" t="s">
        <v>374</v>
      </c>
      <c r="E130" s="108" t="s">
        <v>617</v>
      </c>
      <c r="F130" s="122"/>
    </row>
    <row r="131" spans="2:6" ht="14.4">
      <c r="B131" s="108">
        <v>218</v>
      </c>
      <c r="D131" s="108" t="s">
        <v>165</v>
      </c>
      <c r="E131" s="151" t="s">
        <v>891</v>
      </c>
      <c r="F131" s="122"/>
    </row>
    <row r="132" spans="2:6" ht="28.8">
      <c r="B132" s="108">
        <v>219</v>
      </c>
      <c r="D132" s="108" t="s">
        <v>375</v>
      </c>
      <c r="E132" s="151" t="s">
        <v>618</v>
      </c>
      <c r="F132" s="122"/>
    </row>
    <row r="133" spans="2:6" ht="28.8">
      <c r="B133" s="108">
        <v>220</v>
      </c>
      <c r="D133" s="108" t="s">
        <v>235</v>
      </c>
      <c r="E133" s="151" t="s">
        <v>619</v>
      </c>
      <c r="F133" s="122"/>
    </row>
    <row r="134" spans="2:6" ht="28.8">
      <c r="B134" s="108">
        <v>221</v>
      </c>
      <c r="D134" s="108" t="s">
        <v>376</v>
      </c>
      <c r="E134" s="108" t="s">
        <v>620</v>
      </c>
      <c r="F134" s="122"/>
    </row>
    <row r="135" spans="2:6" ht="14.4">
      <c r="B135" s="108">
        <v>222</v>
      </c>
      <c r="D135" s="108" t="s">
        <v>149</v>
      </c>
      <c r="E135" s="151" t="s">
        <v>377</v>
      </c>
      <c r="F135" s="122"/>
    </row>
    <row r="136" spans="2:6" ht="14.4">
      <c r="B136" s="108">
        <v>223</v>
      </c>
      <c r="D136" s="108" t="s">
        <v>236</v>
      </c>
      <c r="E136" s="151" t="s">
        <v>621</v>
      </c>
      <c r="F136" s="122"/>
    </row>
    <row r="137" spans="2:6" ht="14.4">
      <c r="B137" s="108">
        <v>224</v>
      </c>
      <c r="D137" s="108" t="s">
        <v>237</v>
      </c>
      <c r="E137" s="151" t="s">
        <v>622</v>
      </c>
      <c r="F137" s="123"/>
    </row>
    <row r="138" spans="2:6" ht="14.4">
      <c r="B138" s="108">
        <v>225</v>
      </c>
      <c r="D138" s="108" t="s">
        <v>378</v>
      </c>
      <c r="E138" s="151" t="s">
        <v>623</v>
      </c>
      <c r="F138" s="122"/>
    </row>
    <row r="139" spans="2:6" ht="14.4">
      <c r="B139" s="108">
        <v>226</v>
      </c>
      <c r="D139" s="108" t="s">
        <v>238</v>
      </c>
      <c r="E139" s="108" t="s">
        <v>624</v>
      </c>
      <c r="F139" s="122"/>
    </row>
    <row r="140" spans="2:6" ht="42.6">
      <c r="B140" s="108">
        <v>227</v>
      </c>
      <c r="D140" s="108" t="s">
        <v>379</v>
      </c>
      <c r="E140" s="151" t="s">
        <v>625</v>
      </c>
      <c r="F140" s="122"/>
    </row>
    <row r="141" spans="2:6" ht="28.8">
      <c r="B141" s="108">
        <v>228</v>
      </c>
      <c r="D141" s="108" t="s">
        <v>380</v>
      </c>
      <c r="E141" s="151" t="s">
        <v>626</v>
      </c>
      <c r="F141" s="122"/>
    </row>
    <row r="142" spans="2:6" ht="14.4">
      <c r="B142" s="108">
        <v>229</v>
      </c>
      <c r="D142" s="108" t="s">
        <v>239</v>
      </c>
      <c r="E142" s="151" t="s">
        <v>627</v>
      </c>
      <c r="F142" s="122"/>
    </row>
    <row r="143" spans="2:6" ht="28.8">
      <c r="B143" s="108">
        <v>230</v>
      </c>
      <c r="D143" s="108" t="s">
        <v>381</v>
      </c>
      <c r="E143" s="151" t="s">
        <v>628</v>
      </c>
      <c r="F143" s="122"/>
    </row>
    <row r="144" spans="2:6" ht="14.4">
      <c r="B144" s="108">
        <v>231</v>
      </c>
      <c r="D144" s="108" t="s">
        <v>382</v>
      </c>
      <c r="E144" s="151" t="s">
        <v>629</v>
      </c>
      <c r="F144" s="122"/>
    </row>
    <row r="145" spans="2:6" ht="14.4">
      <c r="B145" s="108">
        <v>232</v>
      </c>
      <c r="D145" s="108" t="s">
        <v>240</v>
      </c>
      <c r="E145" s="151" t="s">
        <v>630</v>
      </c>
      <c r="F145" s="122"/>
    </row>
    <row r="146" spans="2:6" ht="14.4">
      <c r="B146" s="108">
        <v>233</v>
      </c>
      <c r="D146" s="108" t="s">
        <v>241</v>
      </c>
      <c r="E146" s="151" t="s">
        <v>631</v>
      </c>
      <c r="F146" s="123"/>
    </row>
    <row r="147" spans="2:6" ht="14.4">
      <c r="B147" s="108">
        <v>234</v>
      </c>
      <c r="D147" s="108" t="s">
        <v>892</v>
      </c>
      <c r="E147" s="108" t="s">
        <v>632</v>
      </c>
      <c r="F147" s="122"/>
    </row>
    <row r="148" spans="2:6" ht="14.4">
      <c r="B148" s="108">
        <v>235</v>
      </c>
      <c r="D148" s="108" t="s">
        <v>893</v>
      </c>
      <c r="E148" s="108" t="s">
        <v>633</v>
      </c>
      <c r="F148" s="122"/>
    </row>
    <row r="149" spans="2:6" ht="14.4">
      <c r="B149" s="108">
        <v>236</v>
      </c>
      <c r="D149" s="108" t="s">
        <v>894</v>
      </c>
      <c r="E149" s="151" t="s">
        <v>895</v>
      </c>
      <c r="F149" s="122"/>
    </row>
    <row r="150" spans="2:6" ht="14.4">
      <c r="B150" s="108">
        <v>237</v>
      </c>
      <c r="D150" s="108" t="s">
        <v>242</v>
      </c>
      <c r="E150" s="151" t="s">
        <v>634</v>
      </c>
      <c r="F150" s="122"/>
    </row>
    <row r="151" spans="2:6" ht="27.6">
      <c r="B151" s="108">
        <v>238</v>
      </c>
      <c r="D151" s="108" t="s">
        <v>514</v>
      </c>
      <c r="F151" s="122"/>
    </row>
    <row r="152" spans="2:6" ht="14.4">
      <c r="B152" s="108">
        <v>239</v>
      </c>
      <c r="D152" s="108" t="s">
        <v>383</v>
      </c>
      <c r="E152" s="151" t="s">
        <v>635</v>
      </c>
      <c r="F152" s="122"/>
    </row>
    <row r="153" spans="2:6" ht="14.4">
      <c r="B153" s="108">
        <v>240</v>
      </c>
      <c r="D153" s="108" t="s">
        <v>243</v>
      </c>
      <c r="E153" s="151" t="s">
        <v>384</v>
      </c>
      <c r="F153" s="124"/>
    </row>
    <row r="154" spans="2:6" ht="14.4">
      <c r="B154" s="108">
        <v>241</v>
      </c>
      <c r="D154" s="108" t="s">
        <v>244</v>
      </c>
      <c r="E154" s="151" t="s">
        <v>331</v>
      </c>
      <c r="F154" s="122"/>
    </row>
    <row r="155" spans="2:6" ht="14.4">
      <c r="B155" s="108">
        <v>242</v>
      </c>
      <c r="D155" s="108" t="s">
        <v>167</v>
      </c>
      <c r="E155" s="151" t="s">
        <v>896</v>
      </c>
      <c r="F155" s="124"/>
    </row>
    <row r="156" spans="2:6" ht="14.4">
      <c r="B156" s="108">
        <v>243</v>
      </c>
      <c r="D156" s="108" t="s">
        <v>153</v>
      </c>
      <c r="E156" s="151" t="s">
        <v>636</v>
      </c>
      <c r="F156" s="122"/>
    </row>
    <row r="157" spans="2:6" ht="28.8">
      <c r="B157" s="108">
        <v>244</v>
      </c>
      <c r="D157" s="108" t="s">
        <v>385</v>
      </c>
      <c r="E157" s="151" t="s">
        <v>637</v>
      </c>
      <c r="F157" s="122"/>
    </row>
    <row r="158" spans="2:6" ht="14.4">
      <c r="B158" s="108">
        <v>245</v>
      </c>
      <c r="D158" s="108" t="s">
        <v>139</v>
      </c>
      <c r="E158" s="108" t="s">
        <v>139</v>
      </c>
      <c r="F158" s="122"/>
    </row>
    <row r="159" spans="2:6" ht="14.4">
      <c r="B159" s="108">
        <v>246</v>
      </c>
      <c r="D159" s="108" t="s">
        <v>140</v>
      </c>
      <c r="E159" s="108" t="s">
        <v>140</v>
      </c>
      <c r="F159" s="122"/>
    </row>
    <row r="160" spans="2:6" ht="14.4">
      <c r="B160" s="108">
        <v>247</v>
      </c>
      <c r="D160" s="108" t="s">
        <v>245</v>
      </c>
      <c r="E160" s="108" t="s">
        <v>182</v>
      </c>
      <c r="F160" s="122"/>
    </row>
    <row r="161" spans="2:6" ht="14.4">
      <c r="B161" s="108">
        <v>248</v>
      </c>
      <c r="D161" s="108" t="s">
        <v>183</v>
      </c>
      <c r="E161" s="108" t="s">
        <v>515</v>
      </c>
      <c r="F161" s="122"/>
    </row>
    <row r="162" spans="2:6" ht="14.4">
      <c r="B162" s="108">
        <v>249</v>
      </c>
      <c r="D162" s="108" t="s">
        <v>173</v>
      </c>
      <c r="E162" s="108" t="s">
        <v>638</v>
      </c>
      <c r="F162" s="122"/>
    </row>
    <row r="163" spans="2:6" ht="14.4">
      <c r="B163" s="108">
        <v>250</v>
      </c>
      <c r="D163" s="108" t="s">
        <v>176</v>
      </c>
      <c r="E163" s="151" t="s">
        <v>386</v>
      </c>
      <c r="F163" s="122"/>
    </row>
    <row r="164" spans="2:6" ht="14.4">
      <c r="B164" s="108">
        <v>251</v>
      </c>
      <c r="D164" s="108" t="s">
        <v>897</v>
      </c>
      <c r="E164" s="151" t="s">
        <v>387</v>
      </c>
      <c r="F164" s="122"/>
    </row>
    <row r="165" spans="2:6" ht="14.4">
      <c r="B165" s="108">
        <v>252</v>
      </c>
      <c r="D165" s="108" t="s">
        <v>310</v>
      </c>
      <c r="E165" s="151" t="s">
        <v>388</v>
      </c>
      <c r="F165" s="122"/>
    </row>
    <row r="166" spans="2:6" ht="14.4">
      <c r="B166" s="108">
        <v>253</v>
      </c>
      <c r="D166" s="108" t="s">
        <v>246</v>
      </c>
      <c r="E166" s="151" t="s">
        <v>639</v>
      </c>
      <c r="F166" s="122"/>
    </row>
    <row r="167" spans="2:6" ht="14.4">
      <c r="B167" s="108">
        <v>254</v>
      </c>
      <c r="D167" s="108" t="s">
        <v>311</v>
      </c>
      <c r="E167" s="151" t="s">
        <v>389</v>
      </c>
      <c r="F167" s="122"/>
    </row>
    <row r="168" spans="2:6" ht="14.4">
      <c r="B168" s="108">
        <v>255</v>
      </c>
      <c r="D168" s="108" t="s">
        <v>390</v>
      </c>
      <c r="E168" s="151" t="s">
        <v>640</v>
      </c>
      <c r="F168" s="122"/>
    </row>
    <row r="169" spans="2:6" ht="14.4">
      <c r="B169" s="108">
        <v>256</v>
      </c>
      <c r="D169" s="108" t="s">
        <v>247</v>
      </c>
      <c r="E169" s="151" t="s">
        <v>641</v>
      </c>
      <c r="F169" s="122"/>
    </row>
    <row r="170" spans="2:6" ht="14.4">
      <c r="B170" s="108">
        <v>257</v>
      </c>
      <c r="D170" s="108" t="s">
        <v>117</v>
      </c>
      <c r="E170" s="151" t="s">
        <v>391</v>
      </c>
      <c r="F170" s="122"/>
    </row>
    <row r="171" spans="2:6" ht="28.8">
      <c r="B171" s="108">
        <v>258</v>
      </c>
      <c r="D171" s="108" t="s">
        <v>392</v>
      </c>
      <c r="E171" s="108" t="s">
        <v>642</v>
      </c>
      <c r="F171" s="122"/>
    </row>
    <row r="172" spans="2:6" ht="28.8">
      <c r="B172" s="108">
        <v>259</v>
      </c>
      <c r="D172" s="108" t="s">
        <v>393</v>
      </c>
      <c r="E172" s="151" t="s">
        <v>643</v>
      </c>
      <c r="F172" s="122"/>
    </row>
    <row r="173" spans="2:6" ht="14.4">
      <c r="B173" s="108">
        <v>260</v>
      </c>
      <c r="D173" s="108" t="s">
        <v>116</v>
      </c>
      <c r="E173" s="151" t="s">
        <v>644</v>
      </c>
      <c r="F173" s="122"/>
    </row>
    <row r="174" spans="2:6" ht="14.4">
      <c r="B174" s="108">
        <v>261</v>
      </c>
      <c r="D174" s="108" t="s">
        <v>248</v>
      </c>
      <c r="E174" s="151" t="s">
        <v>645</v>
      </c>
      <c r="F174" s="122"/>
    </row>
    <row r="175" spans="2:6" ht="14.4">
      <c r="B175" s="108">
        <v>262</v>
      </c>
      <c r="D175" s="108" t="s">
        <v>249</v>
      </c>
      <c r="E175" s="151" t="s">
        <v>394</v>
      </c>
      <c r="F175" s="122"/>
    </row>
    <row r="176" spans="2:6" ht="57.6">
      <c r="B176" s="108">
        <v>263</v>
      </c>
      <c r="D176" s="108" t="s">
        <v>898</v>
      </c>
      <c r="E176" s="151" t="s">
        <v>523</v>
      </c>
      <c r="F176" s="122"/>
    </row>
    <row r="177" spans="2:6" ht="14.4">
      <c r="B177" s="108">
        <v>264</v>
      </c>
      <c r="D177" s="108" t="s">
        <v>250</v>
      </c>
      <c r="E177" s="151" t="s">
        <v>646</v>
      </c>
      <c r="F177" s="122"/>
    </row>
    <row r="178" spans="2:6" ht="14.4">
      <c r="B178" s="108">
        <v>265</v>
      </c>
      <c r="D178" s="108" t="s">
        <v>251</v>
      </c>
      <c r="E178" s="151" t="s">
        <v>647</v>
      </c>
      <c r="F178" s="122"/>
    </row>
    <row r="179" spans="2:6" ht="28.8">
      <c r="B179" s="108">
        <v>266</v>
      </c>
      <c r="D179" s="108" t="s">
        <v>395</v>
      </c>
      <c r="E179" s="151" t="s">
        <v>648</v>
      </c>
      <c r="F179" s="122"/>
    </row>
    <row r="180" spans="2:6" ht="14.4">
      <c r="B180" s="108">
        <v>267</v>
      </c>
      <c r="D180" s="108" t="s">
        <v>396</v>
      </c>
      <c r="E180" s="151" t="s">
        <v>397</v>
      </c>
      <c r="F180" s="122"/>
    </row>
    <row r="181" spans="2:6" ht="14.4">
      <c r="B181" s="108">
        <v>268</v>
      </c>
      <c r="D181" s="108" t="s">
        <v>899</v>
      </c>
      <c r="E181" s="151" t="s">
        <v>900</v>
      </c>
      <c r="F181" s="123"/>
    </row>
    <row r="182" spans="2:6" ht="14.4">
      <c r="B182" s="108">
        <v>269</v>
      </c>
      <c r="D182" s="108" t="s">
        <v>252</v>
      </c>
      <c r="E182" s="151" t="s">
        <v>649</v>
      </c>
      <c r="F182" s="122"/>
    </row>
    <row r="183" spans="2:6" ht="28.8">
      <c r="B183" s="108">
        <v>270</v>
      </c>
      <c r="D183" s="108" t="s">
        <v>253</v>
      </c>
      <c r="E183" s="151" t="s">
        <v>650</v>
      </c>
      <c r="F183" s="122"/>
    </row>
    <row r="184" spans="2:6" ht="14.4">
      <c r="B184" s="108">
        <v>271</v>
      </c>
      <c r="D184" s="108" t="s">
        <v>254</v>
      </c>
      <c r="E184" s="151" t="s">
        <v>651</v>
      </c>
      <c r="F184" s="122"/>
    </row>
    <row r="185" spans="2:6" ht="14.4">
      <c r="B185" s="108">
        <v>272</v>
      </c>
      <c r="D185" s="108" t="s">
        <v>255</v>
      </c>
      <c r="E185" s="151" t="s">
        <v>652</v>
      </c>
      <c r="F185" s="122"/>
    </row>
    <row r="186" spans="2:6" ht="14.4">
      <c r="B186" s="108">
        <v>273</v>
      </c>
      <c r="D186" s="108" t="s">
        <v>398</v>
      </c>
      <c r="E186" s="151" t="s">
        <v>399</v>
      </c>
      <c r="F186" s="123"/>
    </row>
    <row r="187" spans="2:6" ht="14.4">
      <c r="B187" s="108">
        <v>274</v>
      </c>
      <c r="D187" s="108" t="s">
        <v>901</v>
      </c>
      <c r="E187" s="151" t="s">
        <v>653</v>
      </c>
      <c r="F187" s="122"/>
    </row>
    <row r="188" spans="2:6" ht="14.4">
      <c r="B188" s="108">
        <v>275</v>
      </c>
      <c r="D188" s="108" t="s">
        <v>256</v>
      </c>
      <c r="E188" s="151" t="s">
        <v>654</v>
      </c>
      <c r="F188" s="122"/>
    </row>
    <row r="189" spans="2:6" ht="43.2">
      <c r="B189" s="108">
        <v>276</v>
      </c>
      <c r="D189" s="108" t="s">
        <v>655</v>
      </c>
      <c r="E189" s="151" t="s">
        <v>656</v>
      </c>
      <c r="F189" s="122"/>
    </row>
    <row r="190" spans="2:6" ht="14.4">
      <c r="B190" s="108">
        <v>277</v>
      </c>
      <c r="D190" s="108" t="s">
        <v>257</v>
      </c>
      <c r="E190" s="151" t="s">
        <v>657</v>
      </c>
      <c r="F190" s="122"/>
    </row>
    <row r="191" spans="2:6" ht="28.8">
      <c r="B191" s="108">
        <v>278</v>
      </c>
      <c r="D191" s="108" t="s">
        <v>258</v>
      </c>
      <c r="E191" s="151" t="s">
        <v>658</v>
      </c>
      <c r="F191" s="122"/>
    </row>
    <row r="192" spans="2:6" ht="14.4">
      <c r="B192" s="108">
        <v>279</v>
      </c>
      <c r="D192" s="108" t="s">
        <v>136</v>
      </c>
      <c r="E192" s="151" t="s">
        <v>400</v>
      </c>
      <c r="F192" s="122"/>
    </row>
    <row r="193" spans="2:6" ht="27.6">
      <c r="B193" s="108">
        <v>27901</v>
      </c>
      <c r="C193" s="108" t="s">
        <v>902</v>
      </c>
      <c r="D193" s="108" t="s">
        <v>903</v>
      </c>
      <c r="E193" s="151" t="s">
        <v>400</v>
      </c>
      <c r="F193" s="122"/>
    </row>
    <row r="194" spans="2:6" ht="14.4">
      <c r="B194" s="108">
        <v>280</v>
      </c>
      <c r="D194" s="108" t="s">
        <v>131</v>
      </c>
      <c r="E194" s="151" t="s">
        <v>659</v>
      </c>
      <c r="F194" s="122"/>
    </row>
    <row r="195" spans="2:6" ht="27.6">
      <c r="B195" s="108">
        <v>28001</v>
      </c>
      <c r="C195" s="108" t="s">
        <v>876</v>
      </c>
      <c r="D195" s="108" t="s">
        <v>904</v>
      </c>
      <c r="E195" s="151" t="s">
        <v>905</v>
      </c>
      <c r="F195" s="122"/>
    </row>
    <row r="196" spans="2:6" ht="14.4">
      <c r="B196" s="108">
        <v>281</v>
      </c>
      <c r="D196" s="108" t="s">
        <v>129</v>
      </c>
      <c r="E196" s="151" t="s">
        <v>660</v>
      </c>
      <c r="F196" s="122"/>
    </row>
    <row r="197" spans="2:6" ht="27.6">
      <c r="B197" s="108">
        <v>28101</v>
      </c>
      <c r="C197" s="108" t="s">
        <v>902</v>
      </c>
      <c r="D197" s="108" t="s">
        <v>906</v>
      </c>
      <c r="E197" s="151" t="s">
        <v>823</v>
      </c>
      <c r="F197" s="122"/>
    </row>
    <row r="198" spans="2:6" ht="14.4">
      <c r="B198" s="108">
        <v>282</v>
      </c>
      <c r="D198" s="108" t="s">
        <v>401</v>
      </c>
      <c r="E198" s="151" t="s">
        <v>661</v>
      </c>
      <c r="F198" s="122"/>
    </row>
    <row r="199" spans="2:6" ht="14.4">
      <c r="B199" s="108">
        <v>283</v>
      </c>
      <c r="D199" s="108" t="s">
        <v>259</v>
      </c>
      <c r="E199" s="151" t="s">
        <v>662</v>
      </c>
      <c r="F199" s="122"/>
    </row>
    <row r="200" spans="2:6" ht="14.4">
      <c r="B200" s="108">
        <v>284</v>
      </c>
      <c r="D200" s="108" t="s">
        <v>260</v>
      </c>
      <c r="E200" s="151" t="s">
        <v>663</v>
      </c>
      <c r="F200" s="122"/>
    </row>
    <row r="201" spans="2:6" ht="14.4">
      <c r="B201" s="108">
        <v>285</v>
      </c>
      <c r="D201" s="108" t="s">
        <v>261</v>
      </c>
      <c r="E201" s="151" t="s">
        <v>664</v>
      </c>
      <c r="F201" s="122"/>
    </row>
    <row r="202" spans="2:6" ht="14.4">
      <c r="B202" s="108">
        <v>286</v>
      </c>
      <c r="D202" s="108" t="s">
        <v>402</v>
      </c>
      <c r="E202" s="151" t="s">
        <v>665</v>
      </c>
      <c r="F202" s="122"/>
    </row>
    <row r="203" spans="2:6" ht="14.4">
      <c r="B203" s="108">
        <v>287</v>
      </c>
      <c r="D203" s="108" t="s">
        <v>403</v>
      </c>
      <c r="E203" s="151" t="s">
        <v>666</v>
      </c>
      <c r="F203" s="122"/>
    </row>
    <row r="204" spans="2:6" ht="14.4">
      <c r="B204" s="108">
        <v>288</v>
      </c>
      <c r="D204" s="108" t="s">
        <v>262</v>
      </c>
      <c r="E204" s="151" t="s">
        <v>404</v>
      </c>
      <c r="F204" s="122"/>
    </row>
    <row r="205" spans="2:6" ht="14.4">
      <c r="B205" s="108">
        <v>289</v>
      </c>
      <c r="D205" s="108" t="s">
        <v>151</v>
      </c>
      <c r="E205" s="151" t="s">
        <v>667</v>
      </c>
      <c r="F205" s="122"/>
    </row>
    <row r="206" spans="2:6" ht="14.4">
      <c r="B206" s="108">
        <v>290</v>
      </c>
      <c r="D206" s="108" t="s">
        <v>263</v>
      </c>
      <c r="E206" s="151" t="s">
        <v>405</v>
      </c>
      <c r="F206" s="122"/>
    </row>
    <row r="207" spans="2:6" ht="14.4">
      <c r="B207" s="108">
        <v>291</v>
      </c>
      <c r="D207" s="108" t="s">
        <v>152</v>
      </c>
      <c r="E207" s="151" t="s">
        <v>668</v>
      </c>
      <c r="F207" s="122"/>
    </row>
    <row r="208" spans="2:6" ht="14.4">
      <c r="B208" s="108">
        <v>292</v>
      </c>
      <c r="D208" s="108" t="s">
        <v>406</v>
      </c>
      <c r="E208" s="151" t="s">
        <v>407</v>
      </c>
      <c r="F208" s="122"/>
    </row>
    <row r="209" spans="2:6" ht="14.4">
      <c r="B209" s="108">
        <v>293</v>
      </c>
      <c r="D209" s="108" t="s">
        <v>335</v>
      </c>
      <c r="E209" s="151" t="s">
        <v>669</v>
      </c>
      <c r="F209" s="122"/>
    </row>
    <row r="210" spans="2:6" ht="14.4">
      <c r="B210" s="108">
        <v>294</v>
      </c>
      <c r="D210" s="108" t="s">
        <v>264</v>
      </c>
      <c r="E210" s="151" t="s">
        <v>332</v>
      </c>
      <c r="F210" s="122"/>
    </row>
    <row r="211" spans="2:6" ht="14.4">
      <c r="B211" s="108">
        <v>295</v>
      </c>
      <c r="D211" s="108" t="s">
        <v>160</v>
      </c>
      <c r="E211" s="151" t="s">
        <v>670</v>
      </c>
      <c r="F211" s="122"/>
    </row>
    <row r="212" spans="2:6" ht="14.4">
      <c r="B212" s="108">
        <v>296</v>
      </c>
      <c r="D212" s="108" t="s">
        <v>155</v>
      </c>
      <c r="E212" s="151" t="s">
        <v>408</v>
      </c>
      <c r="F212" s="122"/>
    </row>
    <row r="213" spans="2:6" ht="14.4">
      <c r="B213" s="108">
        <v>297</v>
      </c>
      <c r="D213" s="108" t="s">
        <v>409</v>
      </c>
      <c r="E213" s="151" t="s">
        <v>671</v>
      </c>
      <c r="F213" s="122"/>
    </row>
    <row r="214" spans="2:6" ht="14.4">
      <c r="B214" s="108">
        <v>298</v>
      </c>
      <c r="D214" s="108" t="s">
        <v>336</v>
      </c>
      <c r="E214" s="151" t="s">
        <v>672</v>
      </c>
      <c r="F214" s="122"/>
    </row>
    <row r="215" spans="2:6" ht="14.4">
      <c r="B215" s="108">
        <v>299</v>
      </c>
      <c r="D215" s="108" t="s">
        <v>907</v>
      </c>
      <c r="E215" s="108" t="s">
        <v>908</v>
      </c>
      <c r="F215" s="122"/>
    </row>
    <row r="216" spans="2:6" ht="14.4">
      <c r="B216" s="108">
        <v>300</v>
      </c>
      <c r="D216" s="108" t="s">
        <v>147</v>
      </c>
      <c r="E216" s="151" t="s">
        <v>410</v>
      </c>
      <c r="F216" s="122"/>
    </row>
    <row r="217" spans="2:6" ht="43.2">
      <c r="B217" s="108">
        <v>301</v>
      </c>
      <c r="D217" s="108" t="s">
        <v>411</v>
      </c>
      <c r="E217" s="151" t="s">
        <v>673</v>
      </c>
      <c r="F217" s="122"/>
    </row>
    <row r="218" spans="2:6" ht="14.4">
      <c r="B218" s="108">
        <v>302</v>
      </c>
      <c r="D218" s="108" t="s">
        <v>154</v>
      </c>
      <c r="E218" s="151" t="s">
        <v>674</v>
      </c>
      <c r="F218" s="122"/>
    </row>
    <row r="219" spans="2:6" ht="28.8">
      <c r="B219" s="108">
        <v>303</v>
      </c>
      <c r="D219" s="108" t="s">
        <v>265</v>
      </c>
      <c r="E219" s="151" t="s">
        <v>675</v>
      </c>
      <c r="F219" s="122"/>
    </row>
    <row r="220" spans="2:6" ht="14.4">
      <c r="B220" s="108">
        <v>304</v>
      </c>
      <c r="D220" s="108" t="s">
        <v>120</v>
      </c>
      <c r="E220" s="151" t="s">
        <v>412</v>
      </c>
      <c r="F220" s="123"/>
    </row>
    <row r="221" spans="2:6" ht="14.4">
      <c r="B221" s="108">
        <v>305</v>
      </c>
      <c r="D221" s="108" t="s">
        <v>266</v>
      </c>
      <c r="E221" s="151" t="s">
        <v>676</v>
      </c>
      <c r="F221" s="122"/>
    </row>
    <row r="222" spans="2:6" ht="14.4">
      <c r="B222" s="108">
        <v>306</v>
      </c>
      <c r="D222" s="108" t="s">
        <v>174</v>
      </c>
      <c r="E222" s="151" t="s">
        <v>413</v>
      </c>
      <c r="F222" s="122"/>
    </row>
    <row r="223" spans="2:6" ht="14.4">
      <c r="B223" s="108">
        <v>307</v>
      </c>
      <c r="D223" s="108" t="s">
        <v>159</v>
      </c>
      <c r="E223" s="151" t="s">
        <v>414</v>
      </c>
      <c r="F223" s="122"/>
    </row>
    <row r="224" spans="2:6" ht="14.4">
      <c r="B224" s="108">
        <v>308</v>
      </c>
      <c r="D224" s="108" t="s">
        <v>166</v>
      </c>
      <c r="E224" s="151" t="s">
        <v>909</v>
      </c>
      <c r="F224" s="122"/>
    </row>
    <row r="225" spans="2:6" ht="14.4">
      <c r="B225" s="108">
        <v>309</v>
      </c>
      <c r="D225" s="108" t="s">
        <v>267</v>
      </c>
      <c r="E225" s="151" t="s">
        <v>677</v>
      </c>
      <c r="F225" s="122"/>
    </row>
    <row r="226" spans="2:6" ht="14.4">
      <c r="B226" s="108">
        <v>310</v>
      </c>
      <c r="D226" s="108" t="s">
        <v>268</v>
      </c>
      <c r="E226" s="151" t="s">
        <v>678</v>
      </c>
      <c r="F226" s="122"/>
    </row>
    <row r="227" spans="2:6" ht="14.4">
      <c r="B227" s="108">
        <v>311</v>
      </c>
      <c r="D227" s="108" t="s">
        <v>415</v>
      </c>
      <c r="E227" s="151" t="s">
        <v>679</v>
      </c>
      <c r="F227" s="122"/>
    </row>
    <row r="228" spans="2:6" ht="14.4">
      <c r="B228" s="108">
        <v>312</v>
      </c>
      <c r="D228" s="108" t="s">
        <v>416</v>
      </c>
      <c r="F228" s="122"/>
    </row>
    <row r="229" spans="2:6" ht="14.4">
      <c r="B229" s="108">
        <v>313</v>
      </c>
      <c r="D229" s="108" t="s">
        <v>910</v>
      </c>
      <c r="E229" s="151" t="s">
        <v>680</v>
      </c>
      <c r="F229" s="124"/>
    </row>
    <row r="230" spans="2:6" ht="14.4">
      <c r="B230" s="108">
        <v>314</v>
      </c>
      <c r="D230" s="108" t="s">
        <v>911</v>
      </c>
      <c r="E230" s="151" t="s">
        <v>681</v>
      </c>
      <c r="F230" s="122"/>
    </row>
    <row r="231" spans="2:6" ht="14.4">
      <c r="B231" s="108">
        <v>315</v>
      </c>
      <c r="D231" s="108" t="s">
        <v>912</v>
      </c>
      <c r="E231" s="151" t="s">
        <v>682</v>
      </c>
      <c r="F231" s="122"/>
    </row>
    <row r="232" spans="2:6" ht="28.8">
      <c r="B232" s="108">
        <v>316</v>
      </c>
      <c r="D232" s="108" t="s">
        <v>683</v>
      </c>
      <c r="E232" s="151" t="s">
        <v>684</v>
      </c>
      <c r="F232" s="122"/>
    </row>
    <row r="233" spans="2:6" ht="159" customHeight="1">
      <c r="B233" s="108">
        <v>317</v>
      </c>
      <c r="D233" s="108" t="s">
        <v>269</v>
      </c>
      <c r="E233" s="151" t="s">
        <v>685</v>
      </c>
      <c r="F233" s="122"/>
    </row>
    <row r="234" spans="2:6" ht="14.4">
      <c r="B234" s="108">
        <v>318</v>
      </c>
      <c r="D234" s="108" t="s">
        <v>270</v>
      </c>
      <c r="E234" s="151" t="s">
        <v>686</v>
      </c>
      <c r="F234" s="122"/>
    </row>
    <row r="235" spans="2:6" ht="14.4">
      <c r="B235" s="108">
        <v>319</v>
      </c>
      <c r="D235" s="108" t="s">
        <v>913</v>
      </c>
      <c r="E235" s="151" t="s">
        <v>914</v>
      </c>
      <c r="F235" s="122"/>
    </row>
    <row r="236" spans="2:6" ht="14.4">
      <c r="B236" s="108">
        <v>320</v>
      </c>
      <c r="D236" s="108" t="s">
        <v>146</v>
      </c>
      <c r="E236" s="151" t="s">
        <v>417</v>
      </c>
      <c r="F236" s="122"/>
    </row>
    <row r="237" spans="2:6" ht="14.4">
      <c r="B237" s="108">
        <v>321</v>
      </c>
      <c r="D237" s="108" t="s">
        <v>271</v>
      </c>
      <c r="E237" s="151" t="s">
        <v>418</v>
      </c>
      <c r="F237" s="122"/>
    </row>
    <row r="238" spans="2:6" ht="14.4">
      <c r="B238" s="108">
        <v>322</v>
      </c>
      <c r="D238" s="108" t="s">
        <v>272</v>
      </c>
      <c r="E238" s="151" t="s">
        <v>687</v>
      </c>
      <c r="F238" s="122"/>
    </row>
    <row r="239" spans="2:6" ht="14.4">
      <c r="B239" s="108">
        <v>323</v>
      </c>
      <c r="D239" s="108" t="s">
        <v>273</v>
      </c>
      <c r="E239" s="151" t="s">
        <v>688</v>
      </c>
      <c r="F239" s="122"/>
    </row>
    <row r="240" spans="2:6" ht="14.4">
      <c r="B240" s="108">
        <v>324</v>
      </c>
      <c r="D240" s="108" t="s">
        <v>274</v>
      </c>
      <c r="E240" s="151" t="s">
        <v>419</v>
      </c>
      <c r="F240" s="122"/>
    </row>
    <row r="241" spans="2:6" ht="14.4">
      <c r="B241" s="108">
        <v>325</v>
      </c>
      <c r="D241" s="108" t="s">
        <v>420</v>
      </c>
      <c r="E241" s="151" t="s">
        <v>689</v>
      </c>
      <c r="F241" s="122"/>
    </row>
    <row r="242" spans="2:6" ht="14.4">
      <c r="B242" s="108">
        <v>326</v>
      </c>
      <c r="D242" s="108" t="s">
        <v>126</v>
      </c>
      <c r="E242" s="151" t="s">
        <v>421</v>
      </c>
      <c r="F242" s="122"/>
    </row>
    <row r="243" spans="2:6" ht="14.4">
      <c r="B243" s="108">
        <v>327</v>
      </c>
      <c r="D243" s="108" t="s">
        <v>156</v>
      </c>
      <c r="E243" s="151" t="s">
        <v>422</v>
      </c>
      <c r="F243" s="122"/>
    </row>
    <row r="244" spans="2:6" ht="28.8">
      <c r="B244" s="108">
        <v>328</v>
      </c>
      <c r="D244" s="108" t="s">
        <v>423</v>
      </c>
      <c r="E244" s="151" t="s">
        <v>690</v>
      </c>
      <c r="F244" s="122"/>
    </row>
    <row r="245" spans="2:6" ht="14.4">
      <c r="B245" s="108">
        <v>329</v>
      </c>
      <c r="D245" s="108" t="s">
        <v>275</v>
      </c>
      <c r="E245" s="151" t="s">
        <v>691</v>
      </c>
      <c r="F245" s="122"/>
    </row>
    <row r="246" spans="2:6" ht="28.8">
      <c r="B246" s="108">
        <v>330</v>
      </c>
      <c r="D246" s="108" t="s">
        <v>424</v>
      </c>
      <c r="E246" s="151" t="s">
        <v>692</v>
      </c>
      <c r="F246" s="122"/>
    </row>
    <row r="247" spans="2:6" ht="14.4">
      <c r="B247" s="108">
        <v>331</v>
      </c>
      <c r="D247" s="108" t="s">
        <v>276</v>
      </c>
      <c r="E247" s="151" t="s">
        <v>693</v>
      </c>
      <c r="F247" s="122"/>
    </row>
    <row r="248" spans="2:6" ht="14.4">
      <c r="B248" s="108">
        <v>332</v>
      </c>
      <c r="D248" s="108" t="s">
        <v>175</v>
      </c>
      <c r="E248" s="151" t="s">
        <v>425</v>
      </c>
      <c r="F248" s="122"/>
    </row>
    <row r="249" spans="2:6" ht="14.4">
      <c r="B249" s="108">
        <v>333</v>
      </c>
      <c r="D249" s="108" t="s">
        <v>114</v>
      </c>
      <c r="E249" s="151" t="s">
        <v>426</v>
      </c>
      <c r="F249" s="122"/>
    </row>
    <row r="250" spans="2:6" ht="14.4">
      <c r="B250" s="108">
        <v>334</v>
      </c>
      <c r="D250" s="108" t="s">
        <v>427</v>
      </c>
      <c r="E250" s="151" t="s">
        <v>694</v>
      </c>
      <c r="F250" s="122"/>
    </row>
    <row r="251" spans="2:6" ht="14.4">
      <c r="B251" s="108">
        <v>335</v>
      </c>
      <c r="D251" s="108" t="s">
        <v>277</v>
      </c>
      <c r="E251" s="151" t="s">
        <v>428</v>
      </c>
      <c r="F251" s="122"/>
    </row>
    <row r="252" spans="2:6" ht="14.4">
      <c r="B252" s="108">
        <v>336</v>
      </c>
      <c r="D252" s="108" t="s">
        <v>163</v>
      </c>
      <c r="E252" s="151" t="s">
        <v>695</v>
      </c>
      <c r="F252" s="122"/>
    </row>
    <row r="253" spans="2:6" ht="72">
      <c r="B253" s="108">
        <v>337</v>
      </c>
      <c r="D253" s="108" t="s">
        <v>278</v>
      </c>
      <c r="E253" s="151" t="s">
        <v>696</v>
      </c>
      <c r="F253" s="122"/>
    </row>
    <row r="254" spans="2:6" ht="14.4">
      <c r="B254" s="108">
        <v>338</v>
      </c>
      <c r="D254" s="108" t="s">
        <v>279</v>
      </c>
      <c r="E254" s="108" t="s">
        <v>697</v>
      </c>
      <c r="F254" s="122"/>
    </row>
    <row r="255" spans="2:6" ht="28.8">
      <c r="B255" s="108">
        <v>339</v>
      </c>
      <c r="D255" s="108" t="s">
        <v>429</v>
      </c>
      <c r="E255" s="151" t="s">
        <v>698</v>
      </c>
      <c r="F255" s="122"/>
    </row>
    <row r="256" spans="2:6" ht="14.4">
      <c r="B256" s="108">
        <v>340</v>
      </c>
      <c r="D256" s="108" t="s">
        <v>430</v>
      </c>
      <c r="E256" s="108" t="s">
        <v>699</v>
      </c>
      <c r="F256" s="122"/>
    </row>
    <row r="257" spans="2:8" ht="27.6">
      <c r="B257" s="108">
        <v>341</v>
      </c>
      <c r="D257" s="108" t="s">
        <v>431</v>
      </c>
      <c r="E257" s="108" t="s">
        <v>700</v>
      </c>
      <c r="F257" s="122"/>
    </row>
    <row r="258" spans="2:8" ht="28.8">
      <c r="B258" s="108">
        <v>342</v>
      </c>
      <c r="D258" s="108" t="s">
        <v>432</v>
      </c>
      <c r="E258" s="151" t="s">
        <v>701</v>
      </c>
      <c r="F258" s="122"/>
    </row>
    <row r="259" spans="2:8" ht="28.8">
      <c r="B259" s="108">
        <v>343</v>
      </c>
      <c r="D259" s="108" t="s">
        <v>433</v>
      </c>
      <c r="E259" s="151" t="s">
        <v>702</v>
      </c>
      <c r="F259" s="122"/>
    </row>
    <row r="260" spans="2:8" ht="28.8">
      <c r="B260" s="108">
        <v>344</v>
      </c>
      <c r="D260" s="108" t="s">
        <v>434</v>
      </c>
      <c r="E260" s="151" t="s">
        <v>703</v>
      </c>
      <c r="F260" s="122"/>
    </row>
    <row r="261" spans="2:8" ht="28.8">
      <c r="B261" s="108">
        <v>345</v>
      </c>
      <c r="D261" s="108" t="s">
        <v>435</v>
      </c>
      <c r="E261" s="151" t="s">
        <v>704</v>
      </c>
      <c r="F261" s="122"/>
    </row>
    <row r="262" spans="2:8" ht="28.8">
      <c r="B262" s="108">
        <v>346</v>
      </c>
      <c r="D262" s="108" t="s">
        <v>436</v>
      </c>
      <c r="E262" s="108" t="s">
        <v>705</v>
      </c>
      <c r="F262" s="122"/>
    </row>
    <row r="263" spans="2:8" ht="28.8">
      <c r="B263" s="108">
        <v>347</v>
      </c>
      <c r="D263" s="108" t="s">
        <v>437</v>
      </c>
      <c r="E263" s="151" t="s">
        <v>706</v>
      </c>
      <c r="F263" s="122"/>
    </row>
    <row r="264" spans="2:8" ht="28.8">
      <c r="B264" s="108">
        <v>348</v>
      </c>
      <c r="D264" s="108" t="s">
        <v>438</v>
      </c>
      <c r="E264" s="151" t="s">
        <v>707</v>
      </c>
      <c r="F264" s="122"/>
    </row>
    <row r="265" spans="2:8" ht="27.6">
      <c r="B265" s="108">
        <v>349</v>
      </c>
      <c r="D265" s="108" t="s">
        <v>439</v>
      </c>
      <c r="E265" s="151" t="s">
        <v>708</v>
      </c>
      <c r="F265" s="122"/>
    </row>
    <row r="266" spans="2:8" ht="28.8">
      <c r="B266" s="108">
        <v>350</v>
      </c>
      <c r="D266" s="108" t="s">
        <v>440</v>
      </c>
      <c r="E266" s="151" t="s">
        <v>709</v>
      </c>
      <c r="F266" s="122"/>
    </row>
    <row r="267" spans="2:8" ht="28.8">
      <c r="B267" s="108">
        <v>351</v>
      </c>
      <c r="D267" s="108" t="s">
        <v>441</v>
      </c>
      <c r="E267" s="151" t="s">
        <v>710</v>
      </c>
      <c r="F267" s="122"/>
    </row>
    <row r="268" spans="2:8" ht="28.8">
      <c r="B268" s="108">
        <v>352</v>
      </c>
      <c r="D268" s="108" t="s">
        <v>442</v>
      </c>
      <c r="E268" s="151" t="s">
        <v>711</v>
      </c>
      <c r="F268" s="122"/>
      <c r="G268" s="110"/>
      <c r="H268" s="110"/>
    </row>
    <row r="269" spans="2:8" ht="27.6">
      <c r="B269" s="108">
        <v>353</v>
      </c>
      <c r="D269" s="108" t="s">
        <v>443</v>
      </c>
      <c r="E269" s="151" t="s">
        <v>712</v>
      </c>
      <c r="F269" s="122"/>
    </row>
    <row r="270" spans="2:8" ht="28.8">
      <c r="B270" s="108">
        <v>354</v>
      </c>
      <c r="D270" s="108" t="s">
        <v>444</v>
      </c>
      <c r="E270" s="151" t="s">
        <v>713</v>
      </c>
      <c r="F270" s="122"/>
    </row>
    <row r="271" spans="2:8" ht="27.6">
      <c r="B271" s="108">
        <v>355</v>
      </c>
      <c r="D271" s="108" t="s">
        <v>445</v>
      </c>
      <c r="E271" s="151" t="s">
        <v>714</v>
      </c>
      <c r="F271" s="122"/>
    </row>
    <row r="272" spans="2:8" ht="28.8">
      <c r="B272" s="108">
        <v>356</v>
      </c>
      <c r="D272" s="108" t="s">
        <v>446</v>
      </c>
      <c r="E272" s="151" t="s">
        <v>715</v>
      </c>
      <c r="F272" s="122"/>
    </row>
    <row r="273" spans="2:6" ht="28.8">
      <c r="B273" s="108">
        <v>357</v>
      </c>
      <c r="D273" s="108" t="s">
        <v>447</v>
      </c>
      <c r="E273" s="151" t="s">
        <v>716</v>
      </c>
      <c r="F273" s="122"/>
    </row>
    <row r="274" spans="2:6" ht="28.8">
      <c r="B274" s="108">
        <v>358</v>
      </c>
      <c r="D274" s="108" t="s">
        <v>448</v>
      </c>
      <c r="E274" s="108" t="s">
        <v>717</v>
      </c>
      <c r="F274" s="122"/>
    </row>
    <row r="275" spans="2:6" ht="27.6">
      <c r="B275" s="108">
        <v>359</v>
      </c>
      <c r="D275" s="108" t="s">
        <v>449</v>
      </c>
      <c r="E275" s="108" t="s">
        <v>718</v>
      </c>
      <c r="F275" s="122"/>
    </row>
    <row r="276" spans="2:6" ht="28.8">
      <c r="B276" s="108">
        <v>360</v>
      </c>
      <c r="D276" s="108" t="s">
        <v>450</v>
      </c>
      <c r="E276" s="151" t="s">
        <v>719</v>
      </c>
      <c r="F276" s="122"/>
    </row>
    <row r="277" spans="2:6" ht="28.8">
      <c r="B277" s="108">
        <v>361</v>
      </c>
      <c r="D277" s="108" t="s">
        <v>915</v>
      </c>
      <c r="E277" s="108" t="s">
        <v>720</v>
      </c>
      <c r="F277" s="122"/>
    </row>
    <row r="278" spans="2:6" ht="28.8">
      <c r="B278" s="108">
        <v>362</v>
      </c>
      <c r="D278" s="108" t="s">
        <v>915</v>
      </c>
      <c r="E278" s="108" t="s">
        <v>720</v>
      </c>
      <c r="F278" s="122"/>
    </row>
    <row r="279" spans="2:6" ht="28.8">
      <c r="B279" s="108">
        <v>363</v>
      </c>
      <c r="D279" s="108" t="s">
        <v>451</v>
      </c>
      <c r="E279" s="108" t="s">
        <v>721</v>
      </c>
      <c r="F279" s="122"/>
    </row>
    <row r="280" spans="2:6" ht="28.8">
      <c r="B280" s="108">
        <v>364</v>
      </c>
      <c r="D280" s="108" t="s">
        <v>452</v>
      </c>
      <c r="E280" s="108" t="s">
        <v>722</v>
      </c>
      <c r="F280" s="122"/>
    </row>
    <row r="281" spans="2:6" ht="28.8">
      <c r="B281" s="108">
        <v>365</v>
      </c>
      <c r="D281" s="108" t="s">
        <v>453</v>
      </c>
      <c r="E281" s="108" t="s">
        <v>723</v>
      </c>
      <c r="F281" s="122"/>
    </row>
    <row r="282" spans="2:6" ht="27.6">
      <c r="B282" s="108">
        <v>366</v>
      </c>
      <c r="D282" s="108" t="s">
        <v>454</v>
      </c>
      <c r="E282" s="108" t="s">
        <v>724</v>
      </c>
      <c r="F282" s="122"/>
    </row>
    <row r="283" spans="2:6" ht="14.4">
      <c r="B283" s="108">
        <v>367</v>
      </c>
      <c r="D283" s="108" t="s">
        <v>280</v>
      </c>
      <c r="E283" s="108" t="s">
        <v>725</v>
      </c>
      <c r="F283" s="122"/>
    </row>
    <row r="284" spans="2:6" ht="28.8">
      <c r="B284" s="108">
        <v>368</v>
      </c>
      <c r="D284" s="108" t="s">
        <v>455</v>
      </c>
      <c r="E284" s="108" t="s">
        <v>726</v>
      </c>
      <c r="F284" s="122"/>
    </row>
    <row r="285" spans="2:6" ht="14.4">
      <c r="B285" s="108">
        <v>369</v>
      </c>
      <c r="D285" s="108" t="s">
        <v>316</v>
      </c>
      <c r="E285" s="151" t="s">
        <v>727</v>
      </c>
      <c r="F285" s="122"/>
    </row>
    <row r="286" spans="2:6" ht="57.6">
      <c r="B286" s="108">
        <v>370</v>
      </c>
      <c r="D286" s="108" t="s">
        <v>456</v>
      </c>
      <c r="E286" s="151" t="s">
        <v>728</v>
      </c>
      <c r="F286" s="122"/>
    </row>
    <row r="287" spans="2:6" ht="28.8">
      <c r="B287" s="108">
        <v>371</v>
      </c>
      <c r="D287" s="108" t="s">
        <v>281</v>
      </c>
      <c r="E287" s="108" t="s">
        <v>729</v>
      </c>
      <c r="F287" s="122"/>
    </row>
    <row r="288" spans="2:6" ht="28.8">
      <c r="B288" s="108">
        <v>372</v>
      </c>
      <c r="D288" s="108" t="s">
        <v>457</v>
      </c>
      <c r="E288" s="108" t="s">
        <v>730</v>
      </c>
      <c r="F288" s="122"/>
    </row>
    <row r="289" spans="2:6" ht="28.8">
      <c r="B289" s="108">
        <v>373</v>
      </c>
      <c r="D289" s="108" t="s">
        <v>458</v>
      </c>
      <c r="E289" s="108" t="s">
        <v>731</v>
      </c>
      <c r="F289" s="122"/>
    </row>
    <row r="290" spans="2:6" ht="28.8">
      <c r="B290" s="108">
        <v>374</v>
      </c>
      <c r="D290" s="108" t="s">
        <v>459</v>
      </c>
      <c r="E290" s="151" t="s">
        <v>732</v>
      </c>
      <c r="F290" s="122"/>
    </row>
    <row r="291" spans="2:6" ht="28.8">
      <c r="B291" s="108">
        <v>375</v>
      </c>
      <c r="D291" s="108" t="s">
        <v>282</v>
      </c>
      <c r="E291" s="151" t="s">
        <v>733</v>
      </c>
      <c r="F291" s="122"/>
    </row>
    <row r="292" spans="2:6" ht="14.4">
      <c r="B292" s="108">
        <v>376</v>
      </c>
      <c r="D292" s="108" t="s">
        <v>283</v>
      </c>
      <c r="E292" s="151" t="s">
        <v>734</v>
      </c>
      <c r="F292" s="122"/>
    </row>
    <row r="293" spans="2:6" ht="14.4">
      <c r="B293" s="108">
        <v>377</v>
      </c>
      <c r="D293" s="108" t="s">
        <v>317</v>
      </c>
      <c r="E293" s="151" t="s">
        <v>735</v>
      </c>
      <c r="F293" s="120"/>
    </row>
    <row r="294" spans="2:6" ht="27.6">
      <c r="B294" s="108">
        <v>378</v>
      </c>
      <c r="D294" s="108" t="s">
        <v>460</v>
      </c>
      <c r="E294" s="151" t="s">
        <v>736</v>
      </c>
      <c r="F294" s="122"/>
    </row>
    <row r="295" spans="2:6" ht="14.4">
      <c r="B295" s="108">
        <v>379</v>
      </c>
      <c r="D295" s="108" t="s">
        <v>284</v>
      </c>
      <c r="E295" s="151" t="s">
        <v>737</v>
      </c>
      <c r="F295" s="122"/>
    </row>
    <row r="296" spans="2:6" ht="14.4">
      <c r="B296" s="108">
        <v>380</v>
      </c>
      <c r="D296" s="108" t="s">
        <v>285</v>
      </c>
      <c r="E296" s="151" t="s">
        <v>738</v>
      </c>
      <c r="F296" s="122"/>
    </row>
    <row r="297" spans="2:6" ht="14.4">
      <c r="B297" s="108">
        <v>381</v>
      </c>
      <c r="D297" s="108" t="s">
        <v>286</v>
      </c>
      <c r="E297" s="151" t="s">
        <v>739</v>
      </c>
      <c r="F297" s="122"/>
    </row>
    <row r="298" spans="2:6" ht="28.8">
      <c r="B298" s="108">
        <v>382</v>
      </c>
      <c r="D298" s="108" t="s">
        <v>461</v>
      </c>
      <c r="E298" s="151" t="s">
        <v>740</v>
      </c>
      <c r="F298" s="122"/>
    </row>
    <row r="299" spans="2:6" ht="57.6">
      <c r="B299" s="108">
        <v>383</v>
      </c>
      <c r="D299" s="108" t="s">
        <v>916</v>
      </c>
      <c r="E299" s="108" t="s">
        <v>917</v>
      </c>
      <c r="F299" s="122"/>
    </row>
    <row r="300" spans="2:6" ht="57.6">
      <c r="B300" s="108">
        <v>384</v>
      </c>
      <c r="D300" s="108" t="s">
        <v>462</v>
      </c>
      <c r="E300" s="151" t="s">
        <v>741</v>
      </c>
      <c r="F300" s="122"/>
    </row>
    <row r="301" spans="2:6" ht="14.4">
      <c r="B301" s="108">
        <v>385</v>
      </c>
      <c r="D301" s="108" t="s">
        <v>172</v>
      </c>
      <c r="E301" s="151" t="s">
        <v>742</v>
      </c>
      <c r="F301" s="122"/>
    </row>
    <row r="302" spans="2:6" ht="28.8">
      <c r="B302" s="108">
        <v>386</v>
      </c>
      <c r="D302" s="108" t="s">
        <v>463</v>
      </c>
      <c r="E302" s="108" t="s">
        <v>743</v>
      </c>
      <c r="F302" s="122"/>
    </row>
    <row r="303" spans="2:6" ht="14.4">
      <c r="B303" s="108">
        <v>387</v>
      </c>
      <c r="D303" s="108" t="s">
        <v>287</v>
      </c>
      <c r="E303" s="108" t="s">
        <v>744</v>
      </c>
      <c r="F303" s="122"/>
    </row>
    <row r="304" spans="2:6" ht="14.4">
      <c r="B304" s="108">
        <v>388</v>
      </c>
      <c r="D304" s="108" t="s">
        <v>288</v>
      </c>
      <c r="E304" s="108" t="s">
        <v>745</v>
      </c>
      <c r="F304" s="122"/>
    </row>
    <row r="305" spans="2:6" ht="28.8">
      <c r="B305" s="108">
        <v>389</v>
      </c>
      <c r="D305" s="108" t="s">
        <v>464</v>
      </c>
      <c r="E305" s="108" t="s">
        <v>746</v>
      </c>
      <c r="F305" s="122"/>
    </row>
    <row r="306" spans="2:6" ht="14.4">
      <c r="B306" s="108">
        <v>390</v>
      </c>
      <c r="D306" s="108" t="s">
        <v>465</v>
      </c>
      <c r="E306" s="108" t="s">
        <v>747</v>
      </c>
      <c r="F306" s="122"/>
    </row>
    <row r="307" spans="2:6" ht="14.4">
      <c r="B307" s="108">
        <v>391</v>
      </c>
      <c r="D307" s="108" t="s">
        <v>124</v>
      </c>
      <c r="E307" s="151" t="s">
        <v>748</v>
      </c>
      <c r="F307" s="122"/>
    </row>
    <row r="308" spans="2:6" ht="14.4">
      <c r="B308" s="108">
        <v>392</v>
      </c>
      <c r="D308" s="108" t="s">
        <v>125</v>
      </c>
      <c r="E308" s="151" t="s">
        <v>749</v>
      </c>
      <c r="F308" s="122"/>
    </row>
    <row r="309" spans="2:6" ht="28.8">
      <c r="B309" s="108">
        <v>393</v>
      </c>
      <c r="D309" s="108" t="s">
        <v>289</v>
      </c>
      <c r="E309" s="108" t="s">
        <v>750</v>
      </c>
      <c r="F309" s="122"/>
    </row>
    <row r="310" spans="2:6" ht="28.8">
      <c r="B310" s="108">
        <v>394</v>
      </c>
      <c r="D310" s="108" t="s">
        <v>466</v>
      </c>
      <c r="E310" s="108" t="s">
        <v>751</v>
      </c>
      <c r="F310" s="122"/>
    </row>
    <row r="311" spans="2:6" ht="14.4">
      <c r="B311" s="108">
        <v>395</v>
      </c>
      <c r="D311" s="108" t="s">
        <v>467</v>
      </c>
      <c r="E311" s="108" t="s">
        <v>752</v>
      </c>
      <c r="F311" s="122"/>
    </row>
    <row r="312" spans="2:6" ht="27.6">
      <c r="B312" s="108">
        <v>396</v>
      </c>
      <c r="D312" s="108" t="s">
        <v>468</v>
      </c>
      <c r="E312" s="108" t="s">
        <v>753</v>
      </c>
      <c r="F312" s="122"/>
    </row>
    <row r="313" spans="2:6" ht="28.8">
      <c r="B313" s="108">
        <v>397</v>
      </c>
      <c r="D313" s="108" t="s">
        <v>469</v>
      </c>
      <c r="E313" s="108" t="s">
        <v>754</v>
      </c>
      <c r="F313" s="122"/>
    </row>
    <row r="314" spans="2:6" ht="14.4">
      <c r="B314" s="108">
        <v>398</v>
      </c>
      <c r="D314" s="108" t="s">
        <v>290</v>
      </c>
      <c r="E314" s="108" t="s">
        <v>755</v>
      </c>
      <c r="F314" s="122"/>
    </row>
    <row r="315" spans="2:6" ht="14.4">
      <c r="B315" s="108">
        <v>399</v>
      </c>
      <c r="D315" s="108" t="s">
        <v>291</v>
      </c>
      <c r="E315" s="108" t="s">
        <v>756</v>
      </c>
      <c r="F315" s="122"/>
    </row>
    <row r="316" spans="2:6" ht="14.4">
      <c r="B316" s="108">
        <v>400</v>
      </c>
      <c r="D316" s="108" t="s">
        <v>470</v>
      </c>
      <c r="E316" s="108" t="s">
        <v>757</v>
      </c>
      <c r="F316" s="122"/>
    </row>
    <row r="317" spans="2:6" ht="14.4">
      <c r="B317" s="108">
        <v>401</v>
      </c>
      <c r="D317" s="108" t="s">
        <v>471</v>
      </c>
      <c r="E317" s="151" t="s">
        <v>758</v>
      </c>
      <c r="F317" s="122"/>
    </row>
    <row r="318" spans="2:6" ht="14.4">
      <c r="B318" s="108">
        <v>402</v>
      </c>
      <c r="D318" s="108" t="s">
        <v>292</v>
      </c>
      <c r="E318" s="151" t="s">
        <v>759</v>
      </c>
      <c r="F318" s="122"/>
    </row>
    <row r="319" spans="2:6" ht="14.4">
      <c r="B319" s="108">
        <v>403</v>
      </c>
      <c r="D319" s="108" t="s">
        <v>123</v>
      </c>
      <c r="E319" s="151" t="s">
        <v>760</v>
      </c>
      <c r="F319" s="122"/>
    </row>
    <row r="320" spans="2:6" ht="14.4">
      <c r="B320" s="108">
        <v>404</v>
      </c>
      <c r="D320" s="108" t="s">
        <v>472</v>
      </c>
      <c r="E320" s="151" t="s">
        <v>761</v>
      </c>
      <c r="F320" s="122"/>
    </row>
    <row r="321" spans="2:6" ht="14.4">
      <c r="B321" s="108">
        <v>405</v>
      </c>
      <c r="D321" s="108" t="s">
        <v>473</v>
      </c>
      <c r="E321" s="151" t="s">
        <v>762</v>
      </c>
      <c r="F321" s="122"/>
    </row>
    <row r="322" spans="2:6" ht="14.4">
      <c r="B322" s="108">
        <v>406</v>
      </c>
      <c r="D322" s="108" t="s">
        <v>309</v>
      </c>
      <c r="E322" s="151" t="s">
        <v>763</v>
      </c>
      <c r="F322" s="122"/>
    </row>
    <row r="323" spans="2:6" ht="43.2">
      <c r="B323" s="108">
        <v>407</v>
      </c>
      <c r="D323" s="108" t="s">
        <v>474</v>
      </c>
      <c r="E323" s="151" t="s">
        <v>764</v>
      </c>
      <c r="F323" s="122"/>
    </row>
    <row r="324" spans="2:6" ht="28.8">
      <c r="B324" s="108">
        <v>408</v>
      </c>
      <c r="D324" s="108" t="s">
        <v>475</v>
      </c>
      <c r="E324" s="151" t="s">
        <v>765</v>
      </c>
      <c r="F324" s="122"/>
    </row>
    <row r="325" spans="2:6" ht="14.4">
      <c r="B325" s="108">
        <v>409</v>
      </c>
      <c r="D325" s="108" t="s">
        <v>476</v>
      </c>
      <c r="E325" s="151" t="s">
        <v>766</v>
      </c>
      <c r="F325" s="122"/>
    </row>
    <row r="326" spans="2:6" ht="14.4">
      <c r="B326" s="108">
        <v>410</v>
      </c>
      <c r="D326" s="108" t="s">
        <v>477</v>
      </c>
      <c r="E326" s="151" t="s">
        <v>767</v>
      </c>
      <c r="F326" s="122"/>
    </row>
    <row r="327" spans="2:6" ht="14.4">
      <c r="B327" s="108">
        <v>411</v>
      </c>
      <c r="D327" s="108" t="s">
        <v>179</v>
      </c>
      <c r="E327" s="151" t="s">
        <v>478</v>
      </c>
      <c r="F327" s="122"/>
    </row>
    <row r="328" spans="2:6" ht="14.4">
      <c r="B328" s="108">
        <v>412</v>
      </c>
      <c r="D328" s="108" t="s">
        <v>479</v>
      </c>
      <c r="E328" s="108" t="s">
        <v>768</v>
      </c>
      <c r="F328" s="122"/>
    </row>
    <row r="329" spans="2:6" ht="14.4">
      <c r="B329" s="108">
        <v>413</v>
      </c>
      <c r="D329" s="108" t="s">
        <v>293</v>
      </c>
      <c r="E329" s="108" t="s">
        <v>769</v>
      </c>
      <c r="F329" s="123"/>
    </row>
    <row r="330" spans="2:6" ht="57.6">
      <c r="B330" s="108">
        <v>414</v>
      </c>
      <c r="D330" s="108" t="s">
        <v>918</v>
      </c>
      <c r="E330" s="108" t="s">
        <v>770</v>
      </c>
      <c r="F330" s="122"/>
    </row>
    <row r="331" spans="2:6" ht="14.4">
      <c r="B331" s="108">
        <v>415</v>
      </c>
      <c r="D331" s="108" t="s">
        <v>181</v>
      </c>
      <c r="E331" s="151" t="s">
        <v>480</v>
      </c>
      <c r="F331" s="122"/>
    </row>
    <row r="332" spans="2:6" ht="14.4">
      <c r="B332" s="108">
        <v>416</v>
      </c>
      <c r="D332" s="108" t="s">
        <v>481</v>
      </c>
      <c r="E332" s="151" t="s">
        <v>771</v>
      </c>
      <c r="F332" s="123"/>
    </row>
    <row r="333" spans="2:6" ht="14.4">
      <c r="B333" s="108">
        <v>417</v>
      </c>
      <c r="D333" s="108" t="s">
        <v>294</v>
      </c>
      <c r="E333" s="151" t="s">
        <v>772</v>
      </c>
      <c r="F333" s="123"/>
    </row>
    <row r="334" spans="2:6" ht="43.2">
      <c r="B334" s="108">
        <v>418</v>
      </c>
      <c r="D334" s="108" t="s">
        <v>773</v>
      </c>
      <c r="E334" s="151" t="s">
        <v>774</v>
      </c>
      <c r="F334" s="122"/>
    </row>
    <row r="335" spans="2:6" ht="14.4">
      <c r="B335" s="108">
        <v>419</v>
      </c>
      <c r="D335" s="108" t="s">
        <v>482</v>
      </c>
      <c r="E335" s="151" t="s">
        <v>775</v>
      </c>
      <c r="F335" s="122"/>
    </row>
    <row r="336" spans="2:6" ht="14.4">
      <c r="B336" s="108">
        <v>420</v>
      </c>
      <c r="D336" s="108" t="s">
        <v>130</v>
      </c>
      <c r="E336" s="151" t="s">
        <v>776</v>
      </c>
      <c r="F336" s="122"/>
    </row>
    <row r="337" spans="2:6" ht="27.6">
      <c r="B337" s="108">
        <v>42001</v>
      </c>
      <c r="C337" s="108" t="s">
        <v>919</v>
      </c>
      <c r="D337" s="108" t="s">
        <v>920</v>
      </c>
      <c r="E337" s="151" t="s">
        <v>921</v>
      </c>
      <c r="F337" s="122"/>
    </row>
    <row r="338" spans="2:6" ht="14.4">
      <c r="B338" s="108">
        <v>421</v>
      </c>
      <c r="D338" s="108" t="s">
        <v>128</v>
      </c>
      <c r="E338" s="151" t="s">
        <v>777</v>
      </c>
      <c r="F338" s="122"/>
    </row>
    <row r="339" spans="2:6" ht="27.6">
      <c r="B339" s="108">
        <v>42101</v>
      </c>
      <c r="C339" s="108" t="s">
        <v>876</v>
      </c>
      <c r="D339" s="108" t="s">
        <v>922</v>
      </c>
      <c r="E339" s="151" t="s">
        <v>923</v>
      </c>
      <c r="F339" s="122"/>
    </row>
    <row r="340" spans="2:6" ht="14.4">
      <c r="B340" s="108">
        <v>422</v>
      </c>
      <c r="D340" s="108" t="s">
        <v>177</v>
      </c>
      <c r="E340" s="151" t="s">
        <v>483</v>
      </c>
      <c r="F340" s="122"/>
    </row>
    <row r="341" spans="2:6" ht="28.8">
      <c r="B341" s="108">
        <v>423</v>
      </c>
      <c r="D341" s="108" t="s">
        <v>484</v>
      </c>
      <c r="E341" s="108" t="s">
        <v>778</v>
      </c>
      <c r="F341" s="122"/>
    </row>
    <row r="342" spans="2:6" ht="14.4">
      <c r="B342" s="108">
        <v>424</v>
      </c>
      <c r="D342" s="108" t="s">
        <v>295</v>
      </c>
      <c r="E342" s="151" t="s">
        <v>485</v>
      </c>
      <c r="F342" s="122"/>
    </row>
    <row r="343" spans="2:6" ht="43.2">
      <c r="B343" s="108">
        <v>425</v>
      </c>
      <c r="D343" s="108" t="s">
        <v>315</v>
      </c>
      <c r="E343" s="151" t="s">
        <v>779</v>
      </c>
      <c r="F343" s="122"/>
    </row>
    <row r="344" spans="2:6" ht="14.4">
      <c r="B344" s="108">
        <v>426</v>
      </c>
      <c r="D344" s="108" t="s">
        <v>143</v>
      </c>
      <c r="E344" s="151" t="s">
        <v>486</v>
      </c>
      <c r="F344" s="122"/>
    </row>
    <row r="345" spans="2:6" ht="14.4">
      <c r="B345" s="108">
        <v>427</v>
      </c>
      <c r="D345" s="108" t="s">
        <v>171</v>
      </c>
      <c r="E345" s="151" t="s">
        <v>780</v>
      </c>
      <c r="F345" s="122"/>
    </row>
    <row r="346" spans="2:6" ht="14.4">
      <c r="B346" s="108">
        <v>428</v>
      </c>
      <c r="D346" s="108" t="s">
        <v>781</v>
      </c>
      <c r="E346" s="151" t="s">
        <v>782</v>
      </c>
      <c r="F346" s="122"/>
    </row>
    <row r="347" spans="2:6" ht="14.4">
      <c r="B347" s="108">
        <v>429</v>
      </c>
      <c r="D347" s="108" t="s">
        <v>296</v>
      </c>
      <c r="E347" s="151" t="s">
        <v>783</v>
      </c>
      <c r="F347" s="122"/>
    </row>
    <row r="348" spans="2:6" ht="14.4">
      <c r="B348" s="108">
        <v>430</v>
      </c>
      <c r="D348" s="108" t="s">
        <v>297</v>
      </c>
      <c r="E348" s="151" t="s">
        <v>784</v>
      </c>
      <c r="F348" s="122"/>
    </row>
    <row r="349" spans="2:6" ht="14.4">
      <c r="B349" s="108">
        <v>431</v>
      </c>
      <c r="D349" s="108" t="s">
        <v>298</v>
      </c>
      <c r="E349" s="151" t="s">
        <v>785</v>
      </c>
      <c r="F349" s="122"/>
    </row>
    <row r="350" spans="2:6" ht="14.4">
      <c r="B350" s="108">
        <v>432</v>
      </c>
      <c r="D350" s="108" t="s">
        <v>170</v>
      </c>
      <c r="E350" s="151" t="s">
        <v>786</v>
      </c>
      <c r="F350" s="122"/>
    </row>
    <row r="351" spans="2:6" ht="14.4">
      <c r="B351" s="108">
        <v>433</v>
      </c>
      <c r="D351" s="108" t="s">
        <v>113</v>
      </c>
      <c r="E351" s="108" t="s">
        <v>113</v>
      </c>
      <c r="F351" s="122"/>
    </row>
    <row r="352" spans="2:6" ht="14.4">
      <c r="B352" s="108">
        <v>434</v>
      </c>
      <c r="D352" s="108" t="s">
        <v>487</v>
      </c>
      <c r="E352" s="108" t="s">
        <v>787</v>
      </c>
      <c r="F352" s="122"/>
    </row>
    <row r="353" spans="2:6" ht="28.8">
      <c r="B353" s="108">
        <v>435</v>
      </c>
      <c r="D353" s="108" t="s">
        <v>488</v>
      </c>
      <c r="E353" s="108" t="s">
        <v>788</v>
      </c>
      <c r="F353" s="122"/>
    </row>
    <row r="354" spans="2:6" ht="14.4">
      <c r="B354" s="108">
        <v>436</v>
      </c>
      <c r="D354" s="108" t="s">
        <v>299</v>
      </c>
      <c r="E354" s="108" t="s">
        <v>299</v>
      </c>
      <c r="F354" s="122"/>
    </row>
    <row r="355" spans="2:6" ht="57.6">
      <c r="B355" s="108">
        <v>437</v>
      </c>
      <c r="D355" s="108" t="s">
        <v>924</v>
      </c>
      <c r="E355" s="108" t="s">
        <v>524</v>
      </c>
      <c r="F355" s="122"/>
    </row>
    <row r="356" spans="2:6" ht="14.4">
      <c r="B356" s="108">
        <v>438</v>
      </c>
      <c r="D356" s="108" t="s">
        <v>178</v>
      </c>
      <c r="E356" s="151" t="s">
        <v>489</v>
      </c>
      <c r="F356" s="122"/>
    </row>
    <row r="357" spans="2:6" ht="14.4">
      <c r="B357" s="108">
        <v>439</v>
      </c>
      <c r="D357" s="108" t="s">
        <v>925</v>
      </c>
      <c r="E357" s="151" t="s">
        <v>490</v>
      </c>
      <c r="F357" s="122"/>
    </row>
    <row r="358" spans="2:6" ht="14.4">
      <c r="B358" s="108">
        <v>440</v>
      </c>
      <c r="D358" s="108" t="s">
        <v>119</v>
      </c>
      <c r="E358" s="151" t="s">
        <v>491</v>
      </c>
      <c r="F358" s="122"/>
    </row>
    <row r="359" spans="2:6" ht="14.4">
      <c r="B359" s="108">
        <v>441</v>
      </c>
      <c r="D359" s="108" t="s">
        <v>300</v>
      </c>
      <c r="E359" s="151" t="s">
        <v>789</v>
      </c>
      <c r="F359" s="122"/>
    </row>
    <row r="360" spans="2:6" ht="14.4">
      <c r="B360" s="108">
        <v>442</v>
      </c>
      <c r="D360" s="108" t="s">
        <v>301</v>
      </c>
      <c r="E360" s="151" t="s">
        <v>790</v>
      </c>
      <c r="F360" s="122"/>
    </row>
    <row r="361" spans="2:6" ht="14.4">
      <c r="B361" s="108">
        <v>443</v>
      </c>
      <c r="D361" s="108" t="s">
        <v>302</v>
      </c>
      <c r="E361" s="108" t="s">
        <v>791</v>
      </c>
      <c r="F361" s="122"/>
    </row>
    <row r="362" spans="2:6" ht="14.4">
      <c r="B362" s="108">
        <v>444</v>
      </c>
      <c r="D362" s="108" t="s">
        <v>303</v>
      </c>
      <c r="E362" s="151" t="s">
        <v>492</v>
      </c>
      <c r="F362" s="122"/>
    </row>
    <row r="363" spans="2:6" ht="14.4">
      <c r="B363" s="108">
        <v>445</v>
      </c>
      <c r="D363" s="108" t="s">
        <v>493</v>
      </c>
      <c r="F363" s="122"/>
    </row>
    <row r="364" spans="2:6" ht="14.4">
      <c r="B364" s="108">
        <v>446</v>
      </c>
      <c r="D364" s="108" t="s">
        <v>494</v>
      </c>
      <c r="F364" s="123"/>
    </row>
    <row r="365" spans="2:6" ht="14.4">
      <c r="B365" s="108">
        <v>447</v>
      </c>
      <c r="D365" s="108" t="s">
        <v>495</v>
      </c>
      <c r="E365" s="108" t="s">
        <v>792</v>
      </c>
      <c r="F365" s="122"/>
    </row>
    <row r="366" spans="2:6" ht="14.4">
      <c r="B366" s="108">
        <v>448</v>
      </c>
      <c r="D366" s="108" t="s">
        <v>926</v>
      </c>
      <c r="E366" s="108" t="s">
        <v>793</v>
      </c>
      <c r="F366" s="122"/>
    </row>
    <row r="367" spans="2:6" ht="14.4">
      <c r="B367" s="108">
        <v>449</v>
      </c>
      <c r="D367" s="108" t="s">
        <v>496</v>
      </c>
      <c r="E367" s="108" t="s">
        <v>927</v>
      </c>
      <c r="F367" s="122"/>
    </row>
    <row r="368" spans="2:6" ht="14.4">
      <c r="B368" s="108">
        <v>450</v>
      </c>
      <c r="D368" s="108" t="s">
        <v>819</v>
      </c>
      <c r="E368" s="108" t="s">
        <v>794</v>
      </c>
      <c r="F368" s="122"/>
    </row>
    <row r="369" spans="2:6" ht="14.4">
      <c r="B369" s="108">
        <v>451</v>
      </c>
      <c r="D369" s="108" t="s">
        <v>497</v>
      </c>
      <c r="E369" s="108" t="s">
        <v>795</v>
      </c>
      <c r="F369" s="122"/>
    </row>
    <row r="370" spans="2:6" ht="28.8">
      <c r="B370" s="108">
        <v>452</v>
      </c>
      <c r="D370" s="108" t="s">
        <v>928</v>
      </c>
      <c r="E370" s="108" t="s">
        <v>929</v>
      </c>
      <c r="F370" s="122"/>
    </row>
    <row r="371" spans="2:6" ht="14.4">
      <c r="B371" s="108">
        <v>453</v>
      </c>
      <c r="D371" s="108" t="s">
        <v>168</v>
      </c>
      <c r="E371" s="108" t="s">
        <v>168</v>
      </c>
      <c r="F371" s="122"/>
    </row>
    <row r="372" spans="2:6" ht="28.8">
      <c r="B372" s="108">
        <v>454</v>
      </c>
      <c r="D372" s="108" t="s">
        <v>930</v>
      </c>
      <c r="E372" s="151" t="s">
        <v>931</v>
      </c>
      <c r="F372" s="122"/>
    </row>
    <row r="373" spans="2:6" ht="14.4">
      <c r="B373" s="108">
        <v>455</v>
      </c>
      <c r="D373" s="108" t="s">
        <v>319</v>
      </c>
      <c r="E373" s="151" t="s">
        <v>796</v>
      </c>
      <c r="F373" s="122"/>
    </row>
    <row r="374" spans="2:6" ht="14.4">
      <c r="B374" s="108">
        <v>456</v>
      </c>
      <c r="D374" s="108" t="s">
        <v>498</v>
      </c>
      <c r="E374" s="108" t="s">
        <v>797</v>
      </c>
      <c r="F374" s="122"/>
    </row>
    <row r="375" spans="2:6" ht="14.4">
      <c r="B375" s="108">
        <v>457</v>
      </c>
      <c r="D375" s="108" t="s">
        <v>499</v>
      </c>
      <c r="E375" s="108" t="s">
        <v>798</v>
      </c>
      <c r="F375" s="122"/>
    </row>
    <row r="376" spans="2:6" ht="14.4">
      <c r="B376" s="108">
        <v>458</v>
      </c>
      <c r="D376" s="108" t="s">
        <v>500</v>
      </c>
      <c r="E376" s="108" t="s">
        <v>799</v>
      </c>
      <c r="F376" s="122"/>
    </row>
    <row r="377" spans="2:6" ht="14.4">
      <c r="B377" s="108">
        <v>459</v>
      </c>
      <c r="D377" s="108" t="s">
        <v>501</v>
      </c>
      <c r="E377" s="151" t="s">
        <v>800</v>
      </c>
      <c r="F377" s="122"/>
    </row>
    <row r="378" spans="2:6" ht="28.8">
      <c r="B378" s="108">
        <v>460</v>
      </c>
      <c r="D378" s="108" t="s">
        <v>502</v>
      </c>
      <c r="E378" s="108" t="s">
        <v>801</v>
      </c>
      <c r="F378" s="122"/>
    </row>
    <row r="379" spans="2:6" ht="14.4">
      <c r="B379" s="108">
        <v>461</v>
      </c>
      <c r="D379" s="108" t="s">
        <v>503</v>
      </c>
      <c r="E379" s="151" t="s">
        <v>800</v>
      </c>
      <c r="F379" s="122"/>
    </row>
    <row r="380" spans="2:6" ht="14.4">
      <c r="B380" s="108">
        <v>462</v>
      </c>
      <c r="D380" s="108" t="s">
        <v>312</v>
      </c>
      <c r="E380" s="151" t="s">
        <v>802</v>
      </c>
      <c r="F380" s="122"/>
    </row>
    <row r="381" spans="2:6" ht="14.4">
      <c r="B381" s="108">
        <v>463</v>
      </c>
      <c r="D381" s="108" t="s">
        <v>141</v>
      </c>
      <c r="E381" s="151" t="s">
        <v>803</v>
      </c>
      <c r="F381" s="122"/>
    </row>
    <row r="382" spans="2:6" ht="14.4">
      <c r="B382" s="108">
        <v>464</v>
      </c>
      <c r="D382" s="108" t="s">
        <v>504</v>
      </c>
      <c r="E382" s="151" t="s">
        <v>804</v>
      </c>
      <c r="F382" s="122"/>
    </row>
    <row r="383" spans="2:6" ht="14.4">
      <c r="B383" s="108">
        <v>465</v>
      </c>
      <c r="D383" s="108" t="s">
        <v>142</v>
      </c>
      <c r="E383" s="151" t="s">
        <v>805</v>
      </c>
      <c r="F383" s="122"/>
    </row>
    <row r="384" spans="2:6" ht="28.8">
      <c r="B384" s="108">
        <v>466</v>
      </c>
      <c r="D384" s="108" t="s">
        <v>505</v>
      </c>
      <c r="E384" s="108" t="s">
        <v>806</v>
      </c>
      <c r="F384" s="122"/>
    </row>
    <row r="385" spans="2:6" ht="14.4">
      <c r="B385" s="108">
        <v>467</v>
      </c>
      <c r="D385" s="108" t="s">
        <v>506</v>
      </c>
      <c r="E385" s="108" t="s">
        <v>799</v>
      </c>
      <c r="F385" s="122"/>
    </row>
    <row r="386" spans="2:6" ht="43.2">
      <c r="B386" s="108">
        <v>468</v>
      </c>
      <c r="D386" s="108" t="s">
        <v>507</v>
      </c>
      <c r="E386" s="151" t="s">
        <v>807</v>
      </c>
      <c r="F386" s="122"/>
    </row>
    <row r="387" spans="2:6" ht="57.6">
      <c r="B387" s="108">
        <v>469</v>
      </c>
      <c r="D387" s="108" t="s">
        <v>508</v>
      </c>
      <c r="E387" s="151" t="s">
        <v>808</v>
      </c>
      <c r="F387" s="122"/>
    </row>
    <row r="388" spans="2:6" ht="14.4">
      <c r="B388" s="108">
        <v>470</v>
      </c>
      <c r="D388" s="108" t="s">
        <v>304</v>
      </c>
      <c r="E388" s="151" t="s">
        <v>809</v>
      </c>
      <c r="F388" s="120"/>
    </row>
    <row r="389" spans="2:6" ht="56.4">
      <c r="B389" s="108">
        <v>471</v>
      </c>
      <c r="D389" s="108" t="s">
        <v>509</v>
      </c>
      <c r="E389" s="151" t="s">
        <v>810</v>
      </c>
    </row>
    <row r="390" spans="2:6" ht="14.4">
      <c r="B390" s="108">
        <v>472</v>
      </c>
      <c r="D390" s="108" t="s">
        <v>305</v>
      </c>
      <c r="E390" s="151" t="s">
        <v>811</v>
      </c>
    </row>
    <row r="391" spans="2:6" ht="14.4">
      <c r="B391" s="108">
        <v>473</v>
      </c>
      <c r="D391" s="108" t="s">
        <v>306</v>
      </c>
      <c r="E391" s="151" t="s">
        <v>812</v>
      </c>
    </row>
    <row r="392" spans="2:6" ht="14.4">
      <c r="B392" s="108">
        <v>474</v>
      </c>
      <c r="D392" s="108" t="s">
        <v>307</v>
      </c>
      <c r="E392" s="108" t="s">
        <v>813</v>
      </c>
    </row>
    <row r="393" spans="2:6" ht="14.4">
      <c r="B393" s="108">
        <v>475</v>
      </c>
      <c r="D393" s="108" t="s">
        <v>308</v>
      </c>
      <c r="E393" s="108" t="s">
        <v>814</v>
      </c>
    </row>
    <row r="394" spans="2:6" ht="14.4">
      <c r="B394" s="108">
        <v>476</v>
      </c>
      <c r="D394" s="108" t="s">
        <v>510</v>
      </c>
      <c r="E394" s="108" t="s">
        <v>815</v>
      </c>
    </row>
    <row r="395" spans="2:6" ht="14.4">
      <c r="B395" s="108">
        <v>477</v>
      </c>
      <c r="D395" s="108" t="s">
        <v>314</v>
      </c>
      <c r="E395" s="151" t="s">
        <v>816</v>
      </c>
    </row>
    <row r="396" spans="2:6" ht="28.8">
      <c r="B396" s="108">
        <v>478</v>
      </c>
      <c r="D396" s="108" t="s">
        <v>932</v>
      </c>
      <c r="E396" s="108" t="s">
        <v>933</v>
      </c>
    </row>
    <row r="397" spans="2:6" ht="14.4">
      <c r="B397" s="108">
        <v>479</v>
      </c>
      <c r="D397" s="108" t="s">
        <v>934</v>
      </c>
      <c r="E397" s="108" t="s">
        <v>935</v>
      </c>
    </row>
    <row r="398" spans="2:6" ht="14.4">
      <c r="B398" s="108">
        <v>480</v>
      </c>
      <c r="D398" s="108" t="s">
        <v>936</v>
      </c>
      <c r="E398" s="108" t="s">
        <v>937</v>
      </c>
    </row>
    <row r="399" spans="2:6" ht="43.2">
      <c r="B399" s="108">
        <v>481</v>
      </c>
      <c r="D399" s="108" t="s">
        <v>938</v>
      </c>
      <c r="E399" s="108" t="s">
        <v>939</v>
      </c>
    </row>
    <row r="400" spans="2:6" ht="28.8">
      <c r="B400" s="108">
        <v>482</v>
      </c>
      <c r="D400" s="108" t="s">
        <v>940</v>
      </c>
      <c r="E400" s="108" t="s">
        <v>941</v>
      </c>
    </row>
    <row r="401" spans="2:5" ht="28.8">
      <c r="B401" s="108">
        <v>483</v>
      </c>
      <c r="D401" s="108" t="s">
        <v>942</v>
      </c>
      <c r="E401" s="108" t="s">
        <v>943</v>
      </c>
    </row>
    <row r="402" spans="2:5" ht="28.8">
      <c r="B402" s="108">
        <v>484</v>
      </c>
      <c r="D402" s="108" t="s">
        <v>944</v>
      </c>
      <c r="E402" s="108" t="s">
        <v>945</v>
      </c>
    </row>
    <row r="403" spans="2:5" ht="43.2">
      <c r="B403" s="108">
        <v>485</v>
      </c>
      <c r="D403" s="108" t="s">
        <v>946</v>
      </c>
      <c r="E403" s="108" t="s">
        <v>947</v>
      </c>
    </row>
    <row r="404" spans="2:5" ht="14.4">
      <c r="B404" s="108">
        <v>486</v>
      </c>
      <c r="D404" s="108" t="s">
        <v>948</v>
      </c>
      <c r="E404" s="108" t="s">
        <v>949</v>
      </c>
    </row>
    <row r="405" spans="2:5" ht="43.2">
      <c r="B405" s="108">
        <v>487</v>
      </c>
      <c r="D405" s="108" t="s">
        <v>1063</v>
      </c>
      <c r="E405" s="108" t="s">
        <v>1064</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김명종</cp:lastModifiedBy>
  <cp:lastPrinted>2015-10-24T14:06:22Z</cp:lastPrinted>
  <dcterms:created xsi:type="dcterms:W3CDTF">2000-03-16T11:25:57Z</dcterms:created>
  <dcterms:modified xsi:type="dcterms:W3CDTF">2019-03-18T03:20:02Z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